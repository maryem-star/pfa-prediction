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ère Année" sheetId="1" state="visible" r:id="rId3"/>
    <sheet name="2ème Anné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<sst xmlns="http://schemas.openxmlformats.org/spreadsheetml/2006/main" count="331" uniqueCount="159">
  <si>
    <t xml:space="preserve">DÉPARTEMENT GÉNIE CIVIL — PREMIÈRE ANNÉE</t>
  </si>
  <si>
    <t xml:space="preserve">Informations Générales</t>
  </si>
  <si>
    <t xml:space="preserve">SEMESTRE 1</t>
  </si>
  <si>
    <t xml:space="preserve">Coef 5</t>
  </si>
  <si>
    <t xml:space="preserve">Coef 4</t>
  </si>
  <si>
    <t xml:space="preserve">Coef 3</t>
  </si>
  <si>
    <t xml:space="preserve">CNE</t>
  </si>
  <si>
    <t xml:space="preserve">Nom</t>
  </si>
  <si>
    <t xml:space="preserve">Prénom</t>
  </si>
  <si>
    <t xml:space="preserve">Absences S1</t>
  </si>
  <si>
    <t xml:space="preserve">Résistance des Matériaux 1</t>
  </si>
  <si>
    <t xml:space="preserve">Béton Armé 1</t>
  </si>
  <si>
    <t xml:space="preserve">Mathématiques 1</t>
  </si>
  <si>
    <t xml:space="preserve">Topographie 1</t>
  </si>
  <si>
    <t xml:space="preserve">Matériaux de Construction</t>
  </si>
  <si>
    <t xml:space="preserve">Anglais Technique 1</t>
  </si>
  <si>
    <t xml:space="preserve">Français Professionnel 1</t>
  </si>
  <si>
    <t xml:space="preserve">Moyenne
SEMESTRE 1</t>
  </si>
  <si>
    <t xml:space="preserve">Absences S2</t>
  </si>
  <si>
    <t xml:space="preserve">Mécanique des Sols 1</t>
  </si>
  <si>
    <t xml:space="preserve">Hydraulique 1</t>
  </si>
  <si>
    <t xml:space="preserve">Mathématiques 2</t>
  </si>
  <si>
    <t xml:space="preserve">Dessin Technique</t>
  </si>
  <si>
    <t xml:space="preserve">Informatique Appliquée</t>
  </si>
  <si>
    <t xml:space="preserve">Anglais Technique 2</t>
  </si>
  <si>
    <t xml:space="preserve">Français Professionnel 2</t>
  </si>
  <si>
    <t xml:space="preserve">PFA 2</t>
  </si>
  <si>
    <t xml:space="preserve">Moyenne
SEMESTRE 2</t>
  </si>
  <si>
    <t xml:space="preserve">Moyenne
Annuelle
1ère Année</t>
  </si>
  <si>
    <t xml:space="preserve">Modules
Non Validés</t>
  </si>
  <si>
    <t xml:space="preserve">Redoublant</t>
  </si>
  <si>
    <t xml:space="preserve">K123456</t>
  </si>
  <si>
    <t xml:space="preserve">El Amrani</t>
  </si>
  <si>
    <t xml:space="preserve">Youssef</t>
  </si>
  <si>
    <t xml:space="preserve">Non</t>
  </si>
  <si>
    <t xml:space="preserve">T123456</t>
  </si>
  <si>
    <t xml:space="preserve">Benali</t>
  </si>
  <si>
    <t xml:space="preserve">Fatima</t>
  </si>
  <si>
    <t xml:space="preserve">K654321</t>
  </si>
  <si>
    <t xml:space="preserve">Cherkaoui</t>
  </si>
  <si>
    <t xml:space="preserve">Mohammed</t>
  </si>
  <si>
    <t xml:space="preserve">T632342</t>
  </si>
  <si>
    <t xml:space="preserve">Fassi</t>
  </si>
  <si>
    <t xml:space="preserve">Zineb</t>
  </si>
  <si>
    <t xml:space="preserve">R804314</t>
  </si>
  <si>
    <t xml:space="preserve">Bennani</t>
  </si>
  <si>
    <t xml:space="preserve">Khalid</t>
  </si>
  <si>
    <t xml:space="preserve">K360735</t>
  </si>
  <si>
    <t xml:space="preserve">Ouali</t>
  </si>
  <si>
    <t xml:space="preserve">Salma</t>
  </si>
  <si>
    <t xml:space="preserve">K712554</t>
  </si>
  <si>
    <t xml:space="preserve">Tazi</t>
  </si>
  <si>
    <t xml:space="preserve">Hamza</t>
  </si>
  <si>
    <t xml:space="preserve">K356150</t>
  </si>
  <si>
    <t xml:space="preserve">Belhaj</t>
  </si>
  <si>
    <t xml:space="preserve">Nadia</t>
  </si>
  <si>
    <t xml:space="preserve">B110139</t>
  </si>
  <si>
    <t xml:space="preserve">Lahlou</t>
  </si>
  <si>
    <t xml:space="preserve">Amine</t>
  </si>
  <si>
    <t xml:space="preserve">K501124</t>
  </si>
  <si>
    <t xml:space="preserve">Rhazi</t>
  </si>
  <si>
    <t xml:space="preserve">Hasnaa</t>
  </si>
  <si>
    <t xml:space="preserve">B820221</t>
  </si>
  <si>
    <t xml:space="preserve">Berrada</t>
  </si>
  <si>
    <t xml:space="preserve">Omar</t>
  </si>
  <si>
    <t xml:space="preserve">B451470</t>
  </si>
  <si>
    <t xml:space="preserve">Kettani</t>
  </si>
  <si>
    <t xml:space="preserve">Meryem</t>
  </si>
  <si>
    <t xml:space="preserve">B547470</t>
  </si>
  <si>
    <t xml:space="preserve">Idrissi</t>
  </si>
  <si>
    <t xml:space="preserve">Rachid</t>
  </si>
  <si>
    <t xml:space="preserve">R664365</t>
  </si>
  <si>
    <t xml:space="preserve">Mourad</t>
  </si>
  <si>
    <t xml:space="preserve">Khadija</t>
  </si>
  <si>
    <t xml:space="preserve">K890870</t>
  </si>
  <si>
    <t xml:space="preserve">Sefrioui</t>
  </si>
  <si>
    <t xml:space="preserve">Bilal</t>
  </si>
  <si>
    <t xml:space="preserve">B778998</t>
  </si>
  <si>
    <t xml:space="preserve">Ziani</t>
  </si>
  <si>
    <t xml:space="preserve">Houda</t>
  </si>
  <si>
    <t xml:space="preserve">T189771</t>
  </si>
  <si>
    <t xml:space="preserve">Bakkali</t>
  </si>
  <si>
    <t xml:space="preserve">Ayoub</t>
  </si>
  <si>
    <t xml:space="preserve">M114835</t>
  </si>
  <si>
    <t xml:space="preserve">Alami</t>
  </si>
  <si>
    <t xml:space="preserve">Soukaina</t>
  </si>
  <si>
    <t xml:space="preserve">R420214</t>
  </si>
  <si>
    <t xml:space="preserve">Daoudi</t>
  </si>
  <si>
    <t xml:space="preserve">Mehdi</t>
  </si>
  <si>
    <t xml:space="preserve">M560485</t>
  </si>
  <si>
    <t xml:space="preserve">Tahiri</t>
  </si>
  <si>
    <t xml:space="preserve">Safae</t>
  </si>
  <si>
    <t xml:space="preserve">R953085</t>
  </si>
  <si>
    <t xml:space="preserve">Filali</t>
  </si>
  <si>
    <t xml:space="preserve">Tarik</t>
  </si>
  <si>
    <t xml:space="preserve">M633590</t>
  </si>
  <si>
    <t xml:space="preserve">Benkirane</t>
  </si>
  <si>
    <t xml:space="preserve">Imane</t>
  </si>
  <si>
    <t xml:space="preserve">R839485</t>
  </si>
  <si>
    <t xml:space="preserve">Ouazzani</t>
  </si>
  <si>
    <t xml:space="preserve">Yassine</t>
  </si>
  <si>
    <t xml:space="preserve">T883041</t>
  </si>
  <si>
    <t xml:space="preserve">Squalli</t>
  </si>
  <si>
    <t xml:space="preserve">Ghita</t>
  </si>
  <si>
    <t xml:space="preserve">M579027</t>
  </si>
  <si>
    <t xml:space="preserve">Mekouar</t>
  </si>
  <si>
    <t xml:space="preserve">Driss</t>
  </si>
  <si>
    <t xml:space="preserve">M442589</t>
  </si>
  <si>
    <t xml:space="preserve">Hajji</t>
  </si>
  <si>
    <t xml:space="preserve">Loubna</t>
  </si>
  <si>
    <t xml:space="preserve">B332120</t>
  </si>
  <si>
    <t xml:space="preserve">Talhaoui</t>
  </si>
  <si>
    <t xml:space="preserve">Karim</t>
  </si>
  <si>
    <t xml:space="preserve">T228093</t>
  </si>
  <si>
    <t xml:space="preserve">Benjelloun</t>
  </si>
  <si>
    <t xml:space="preserve">Sanae</t>
  </si>
  <si>
    <t xml:space="preserve">M638169</t>
  </si>
  <si>
    <t xml:space="preserve">Zohry</t>
  </si>
  <si>
    <t xml:space="preserve">Adil</t>
  </si>
  <si>
    <t xml:space="preserve">R339592</t>
  </si>
  <si>
    <t xml:space="preserve">Naciri</t>
  </si>
  <si>
    <t xml:space="preserve">Widad</t>
  </si>
  <si>
    <t xml:space="preserve">M220465</t>
  </si>
  <si>
    <t xml:space="preserve">Errami</t>
  </si>
  <si>
    <t xml:space="preserve">Saad</t>
  </si>
  <si>
    <t xml:space="preserve">R609253</t>
  </si>
  <si>
    <t xml:space="preserve">Ouhbi</t>
  </si>
  <si>
    <t xml:space="preserve">Basma</t>
  </si>
  <si>
    <t xml:space="preserve">R403578</t>
  </si>
  <si>
    <t xml:space="preserve">Guessous</t>
  </si>
  <si>
    <t xml:space="preserve">Othmane</t>
  </si>
  <si>
    <t xml:space="preserve">B896788</t>
  </si>
  <si>
    <t xml:space="preserve">Mernissi</t>
  </si>
  <si>
    <t xml:space="preserve">Rim</t>
  </si>
  <si>
    <t xml:space="preserve">M849014</t>
  </si>
  <si>
    <t xml:space="preserve">Chraibi</t>
  </si>
  <si>
    <t xml:space="preserve">Badr</t>
  </si>
  <si>
    <t xml:space="preserve">DÉPARTEMENT GÉNIE CIVIL — DEUXIÈME ANNÉE</t>
  </si>
  <si>
    <t xml:space="preserve">SEMESTRE 3</t>
  </si>
  <si>
    <t xml:space="preserve">Absences S3</t>
  </si>
  <si>
    <t xml:space="preserve">Béton Armé 2</t>
  </si>
  <si>
    <t xml:space="preserve">Structures Métalliques</t>
  </si>
  <si>
    <t xml:space="preserve">Mathématiques 3</t>
  </si>
  <si>
    <t xml:space="preserve">Mécanique des Fluides</t>
  </si>
  <si>
    <t xml:space="preserve">Géologie Appliquée</t>
  </si>
  <si>
    <t xml:space="preserve">Anglais Technique 3</t>
  </si>
  <si>
    <t xml:space="preserve">Français Professionnel 3</t>
  </si>
  <si>
    <t xml:space="preserve">Moyenne
SEMESTRE 3</t>
  </si>
  <si>
    <t xml:space="preserve">Absences S4</t>
  </si>
  <si>
    <t xml:space="preserve">Fondations</t>
  </si>
  <si>
    <t xml:space="preserve">Routes et Chaussées</t>
  </si>
  <si>
    <t xml:space="preserve">Mathématiques 4</t>
  </si>
  <si>
    <t xml:space="preserve">Génie Parasismique</t>
  </si>
  <si>
    <t xml:space="preserve">Assainissement</t>
  </si>
  <si>
    <t xml:space="preserve">Anglais Technique 4</t>
  </si>
  <si>
    <t xml:space="preserve">Français Professionnel 4</t>
  </si>
  <si>
    <t xml:space="preserve">PFA 4</t>
  </si>
  <si>
    <t xml:space="preserve">Moyenne
SEMESTRE 4</t>
  </si>
  <si>
    <t xml:space="preserve">Moyenne
Annuelle
2ème Année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</si>
</sst>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666666"/>
      <name val="Arial"/>
      <family val="0"/>
      <charset val="1"/>
    </font>
    <font>
      <sz val="8"/>
      <color rgb="FF888888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sz val="10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75B6"/>
        <bgColor rgb="FF0066CC"/>
      </patternFill>
    </fill>
    <fill>
      <patternFill patternType="solid">
        <fgColor rgb="FFF2F2F2"/>
        <bgColor rgb="FFF0F0F0"/>
      </patternFill>
    </fill>
    <fill>
      <patternFill patternType="solid">
        <fgColor rgb="FFF0F0F0"/>
        <bgColor rgb="FFF2F2F2"/>
      </patternFill>
    </fill>
    <fill>
      <patternFill patternType="solid">
        <fgColor rgb="FFE2EFDA"/>
        <bgColor rgb="FFF0F0F0"/>
      </patternFill>
    </fill>
    <fill>
      <patternFill patternType="solid">
        <fgColor rgb="FFFFF2CC"/>
        <bgColor rgb="FFFCE4D6"/>
      </patternFill>
    </fill>
    <fill>
      <patternFill patternType="solid">
        <fgColor rgb="FFEBF3FB"/>
        <bgColor rgb="FFF2F2F2"/>
      </patternFill>
    </fill>
    <fill>
      <patternFill patternType="solid">
        <fgColor rgb="FFF4CCFF"/>
        <bgColor rgb="FFFFCCCC"/>
      </patternFill>
    </fill>
    <fill>
      <patternFill patternType="solid">
        <fgColor rgb="FFFF9900"/>
        <bgColor rgb="FFFF6600"/>
      </patternFill>
    </fill>
    <fill>
      <patternFill patternType="solid">
        <fgColor rgb="FFFCE4D6"/>
        <bgColor rgb="FFFFF2CC"/>
      </patternFill>
    </fill>
    <fill>
      <patternFill patternType="solid">
        <fgColor rgb="FFC00000"/>
        <bgColor rgb="FF800000"/>
      </patternFill>
    </fill>
    <fill>
      <patternFill patternType="solid">
        <fgColor rgb="FFFFFFFF"/>
        <bgColor rgb="FFF7FBFF"/>
      </patternFill>
    </fill>
    <fill>
      <patternFill patternType="solid">
        <fgColor rgb="FFFFCCCC"/>
        <bgColor rgb="FFF4CCFF"/>
      </patternFill>
    </fill>
    <fill>
      <patternFill patternType="solid">
        <fgColor rgb="FFC6EFCE"/>
        <bgColor rgb="FFE2EFDA"/>
      </patternFill>
    </fill>
    <fill>
      <patternFill patternType="solid">
        <fgColor rgb="FFFFD700"/>
        <bgColor rgb="FFFFFF00"/>
      </patternFill>
    </fill>
    <fill>
      <patternFill patternType="solid">
        <fgColor rgb="FFF7FBFF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  <border diagonalUp="false" diagonalDown="false">
      <left/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1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F0F0F0"/>
      <rgbColor rgb="FF888888"/>
      <rgbColor rgb="FF9999FF"/>
      <rgbColor rgb="FF993366"/>
      <rgbColor rgb="FFFFF2CC"/>
      <rgbColor rgb="FFEBF3FB"/>
      <rgbColor rgb="FF660066"/>
      <rgbColor rgb="FFFF8080"/>
      <rgbColor rgb="FF0066CC"/>
      <rgbColor rgb="FFF4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CE4D6"/>
      <rgbColor rgb="FFF2F2F2"/>
      <rgbColor rgb="FFF7FBFF"/>
      <rgbColor rgb="FFCC99FF"/>
      <rgbColor rgb="FFFFCCCC"/>
      <rgbColor rgb="FF2F75B6"/>
      <rgbColor rgb="FF33CCCC"/>
      <rgbColor rgb="FF99CC00"/>
      <rgbColor rgb="FFFFD700"/>
      <rgbColor rgb="FFFF9900"/>
      <rgbColor rgb="FFFF6600"/>
      <rgbColor rgb="FF666666"/>
      <rgbColor rgb="FFAAAAAA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4"/>
    <col collapsed="false" customWidth="true" hidden="false" outlineLevel="0" max="3" min="3" style="1" width="13"/>
    <col collapsed="false" customWidth="true" hidden="false" outlineLevel="0" max="4" min="4" style="1" width="10"/>
    <col collapsed="false" customWidth="true" hidden="false" outlineLevel="0" max="12" min="5" style="1" width="18"/>
    <col collapsed="false" customWidth="true" hidden="false" outlineLevel="0" max="13" min="13" style="1" width="12"/>
    <col collapsed="false" customWidth="true" hidden="false" outlineLevel="0" max="14" min="14" style="1" width="10"/>
    <col collapsed="false" customWidth="true" hidden="false" outlineLevel="0" max="22" min="15" style="1" width="18"/>
    <col collapsed="false" customWidth="true" hidden="false" outlineLevel="0" max="23" min="23" style="1" width="12"/>
    <col collapsed="false" customWidth="true" hidden="false" outlineLevel="0" max="24" min="24" style="1" width="14"/>
    <col collapsed="false" customWidth="true" hidden="false" outlineLevel="0" max="25" min="25" style="1" width="13"/>
    <col collapsed="false" customWidth="true" hidden="false" outlineLevel="0" max="26" min="26" style="1" width="12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21.75" hidden="false" customHeight="true" outlineLevel="0" collapsed="false">
      <c r="A2" s="3" t="s">
        <v>1</v>
      </c>
      <c r="B2" s="3"/>
      <c r="C2" s="3"/>
      <c r="D2" s="3" t="s">
        <v>2</v>
      </c>
      <c r="E2" s="3"/>
      <c r="F2" s="3"/>
      <c r="G2" s="3"/>
      <c r="H2" s="3"/>
      <c r="I2" s="3"/>
      <c r="J2" s="3"/>
      <c r="K2" s="3"/>
      <c r="L2" s="3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5"/>
      <c r="Y2" s="5"/>
    </row>
    <row r="3" customFormat="false" ht="15.75" hidden="false" customHeight="true" outlineLevel="0" collapsed="false">
      <c r="A3" s="6"/>
      <c r="B3" s="6"/>
      <c r="C3" s="6"/>
      <c r="D3" s="7"/>
      <c r="E3" s="7" t="s">
        <v>3</v>
      </c>
      <c r="F3" s="7" t="s">
        <v>3</v>
      </c>
      <c r="G3" s="7" t="s">
        <v>3</v>
      </c>
      <c r="H3" s="7" t="s">
        <v>4</v>
      </c>
      <c r="I3" s="7" t="s">
        <v>4</v>
      </c>
      <c r="J3" s="7" t="s">
        <v>5</v>
      </c>
      <c r="K3" s="7" t="s">
        <v>5</v>
      </c>
      <c r="L3" s="7"/>
      <c r="M3" s="7"/>
      <c r="N3" s="7" t="s">
        <v>3</v>
      </c>
      <c r="O3" s="7" t="s">
        <v>3</v>
      </c>
      <c r="P3" s="7" t="s">
        <v>3</v>
      </c>
      <c r="Q3" s="7" t="s">
        <v>4</v>
      </c>
      <c r="R3" s="7" t="s">
        <v>4</v>
      </c>
      <c r="S3" s="7" t="s">
        <v>5</v>
      </c>
      <c r="T3" s="7" t="s">
        <v>5</v>
      </c>
      <c r="U3" s="7" t="s">
        <v>3</v>
      </c>
      <c r="V3" s="7"/>
      <c r="W3" s="7"/>
      <c r="X3" s="7"/>
      <c r="Y3" s="7"/>
    </row>
    <row r="4" customFormat="false" ht="49.5" hidden="false" customHeight="true" outlineLevel="0" collapsed="false">
      <c r="A4" s="8" t="s">
        <v>6</v>
      </c>
      <c r="B4" s="8" t="s">
        <v>7</v>
      </c>
      <c r="C4" s="8" t="s">
        <v>8</v>
      </c>
      <c r="D4" s="5" t="s">
        <v>9</v>
      </c>
      <c r="E4" s="9" t="s">
        <v>10</v>
      </c>
      <c r="F4" s="9" t="s">
        <v>11</v>
      </c>
      <c r="G4" s="9" t="s">
        <v>12</v>
      </c>
      <c r="H4" s="9" t="s">
        <v>13</v>
      </c>
      <c r="I4" s="9" t="s">
        <v>14</v>
      </c>
      <c r="J4" s="9" t="s">
        <v>15</v>
      </c>
      <c r="K4" s="9" t="s">
        <v>16</v>
      </c>
      <c r="L4" s="10" t="s">
        <v>17</v>
      </c>
      <c r="M4" s="5" t="s">
        <v>18</v>
      </c>
      <c r="N4" s="11" t="s">
        <v>19</v>
      </c>
      <c r="O4" s="11" t="s">
        <v>20</v>
      </c>
      <c r="P4" s="11" t="s">
        <v>21</v>
      </c>
      <c r="Q4" s="11" t="s">
        <v>22</v>
      </c>
      <c r="R4" s="11" t="s">
        <v>23</v>
      </c>
      <c r="S4" s="11" t="s">
        <v>24</v>
      </c>
      <c r="T4" s="11" t="s">
        <v>25</v>
      </c>
      <c r="U4" s="12" t="s">
        <v>26</v>
      </c>
      <c r="V4" s="10" t="s">
        <v>27</v>
      </c>
      <c r="W4" s="13" t="s">
        <v>28</v>
      </c>
      <c r="X4" s="14" t="s">
        <v>29</v>
      </c>
      <c r="Y4" s="15" t="s">
        <v>30</v>
      </c>
    </row>
    <row r="5" customFormat="false" ht="18" hidden="false" customHeight="true" outlineLevel="0" collapsed="false">
      <c r="A5" s="16" t="s">
        <v>31</v>
      </c>
      <c r="B5" s="16" t="s">
        <v>32</v>
      </c>
      <c r="C5" s="16" t="s">
        <v>33</v>
      </c>
      <c r="D5" s="17" t="n">
        <v>8</v>
      </c>
      <c r="E5" s="18" t="n">
        <v>10.06</v>
      </c>
      <c r="F5" s="19" t="n">
        <v>12.64</v>
      </c>
      <c r="G5" s="19" t="n">
        <v>12.76</v>
      </c>
      <c r="H5" s="19" t="n">
        <v>16.26</v>
      </c>
      <c r="I5" s="19" t="n">
        <v>13.82</v>
      </c>
      <c r="J5" s="19" t="n">
        <v>14.38</v>
      </c>
      <c r="K5" s="19" t="n">
        <v>12.16</v>
      </c>
      <c r="L5" s="20" t="n">
        <f aca="false">(E5*5+F5*5+G5*5+H5*4+I5*4+J5*3+K5*3)/29</f>
        <v>13.008275862069</v>
      </c>
      <c r="M5" s="17" t="n">
        <v>7</v>
      </c>
      <c r="N5" s="19" t="n">
        <v>13.32</v>
      </c>
      <c r="O5" s="19" t="n">
        <v>13.63</v>
      </c>
      <c r="P5" s="19" t="n">
        <v>13.87</v>
      </c>
      <c r="Q5" s="19" t="n">
        <v>15.12</v>
      </c>
      <c r="R5" s="19" t="n">
        <v>13.81</v>
      </c>
      <c r="S5" s="18" t="n">
        <v>9.76</v>
      </c>
      <c r="T5" s="19" t="n">
        <v>14.37</v>
      </c>
      <c r="U5" s="19" t="n">
        <v>17.69</v>
      </c>
      <c r="V5" s="20" t="n">
        <f aca="false">(N5*5+O5*5+P5*5+Q5*4+R5*4+S5*3+T5*3+U5*5)/34</f>
        <v>14.1370588235294</v>
      </c>
      <c r="W5" s="21" t="n">
        <f aca="false">(L5+V5)/2</f>
        <v>13.5726673427992</v>
      </c>
      <c r="X5" s="14" t="n">
        <f aca="false">COUNTIF(E5:K5,"&lt;12")+COUNTIF(N5:U5,"&lt;12")</f>
        <v>2</v>
      </c>
      <c r="Y5" s="22" t="s">
        <v>34</v>
      </c>
    </row>
    <row r="6" customFormat="false" ht="18" hidden="false" customHeight="true" outlineLevel="0" collapsed="false">
      <c r="A6" s="23" t="s">
        <v>35</v>
      </c>
      <c r="B6" s="23" t="s">
        <v>36</v>
      </c>
      <c r="C6" s="23" t="s">
        <v>37</v>
      </c>
      <c r="D6" s="17" t="n">
        <v>6</v>
      </c>
      <c r="E6" s="19" t="n">
        <v>15.81</v>
      </c>
      <c r="F6" s="19" t="n">
        <v>13.72</v>
      </c>
      <c r="G6" s="19" t="n">
        <v>12.62</v>
      </c>
      <c r="H6" s="18" t="n">
        <v>10.62</v>
      </c>
      <c r="I6" s="19" t="n">
        <v>12.31</v>
      </c>
      <c r="J6" s="18" t="n">
        <v>9.91</v>
      </c>
      <c r="K6" s="19" t="n">
        <v>13.11</v>
      </c>
      <c r="L6" s="20" t="n">
        <f aca="false">(E6*5+F6*5+G6*5+H6*4+I6*4+J6*3+K6*3)/29</f>
        <v>12.8113793103448</v>
      </c>
      <c r="M6" s="17" t="n">
        <v>20</v>
      </c>
      <c r="N6" s="19" t="n">
        <v>17.43</v>
      </c>
      <c r="O6" s="19" t="n">
        <v>12.17</v>
      </c>
      <c r="P6" s="18" t="n">
        <v>11.44</v>
      </c>
      <c r="Q6" s="19" t="n">
        <v>15.38</v>
      </c>
      <c r="R6" s="19" t="n">
        <v>15.77</v>
      </c>
      <c r="S6" s="19" t="n">
        <v>15.54</v>
      </c>
      <c r="T6" s="19" t="n">
        <v>14.24</v>
      </c>
      <c r="U6" s="19" t="n">
        <v>16.03</v>
      </c>
      <c r="V6" s="20" t="n">
        <f aca="false">(N6*5+O6*5+P6*5+Q6*4+R6*4+S6*3+T6*3+U6*5)/34</f>
        <v>14.685</v>
      </c>
      <c r="W6" s="21" t="n">
        <f aca="false">(L6+V6)/2</f>
        <v>13.7481896551724</v>
      </c>
      <c r="X6" s="14" t="n">
        <f aca="false">COUNTIF(E6:K6,"&lt;12")+COUNTIF(N6:U6,"&lt;12")</f>
        <v>3</v>
      </c>
      <c r="Y6" s="22" t="s">
        <v>34</v>
      </c>
    </row>
    <row r="7" customFormat="false" ht="18" hidden="false" customHeight="true" outlineLevel="0" collapsed="false">
      <c r="A7" s="16" t="s">
        <v>38</v>
      </c>
      <c r="B7" s="16" t="s">
        <v>39</v>
      </c>
      <c r="C7" s="16" t="s">
        <v>40</v>
      </c>
      <c r="D7" s="17" t="n">
        <v>14</v>
      </c>
      <c r="E7" s="18" t="n">
        <v>8.79</v>
      </c>
      <c r="F7" s="18" t="n">
        <v>8.75</v>
      </c>
      <c r="G7" s="19" t="n">
        <v>16.31</v>
      </c>
      <c r="H7" s="19" t="n">
        <v>13.74</v>
      </c>
      <c r="I7" s="19" t="n">
        <v>16.34</v>
      </c>
      <c r="J7" s="19" t="n">
        <v>12.36</v>
      </c>
      <c r="K7" s="19" t="n">
        <v>14.29</v>
      </c>
      <c r="L7" s="20" t="n">
        <f aca="false">(E7*5+F7*5+G7*5+H7*4+I7*4+J7*3+K7*3)/29</f>
        <v>12.7420689655172</v>
      </c>
      <c r="M7" s="17" t="n">
        <v>4</v>
      </c>
      <c r="N7" s="19" t="n">
        <v>13.37</v>
      </c>
      <c r="O7" s="19" t="n">
        <v>12.16</v>
      </c>
      <c r="P7" s="19" t="n">
        <v>13.31</v>
      </c>
      <c r="Q7" s="19" t="n">
        <v>12.58</v>
      </c>
      <c r="R7" s="19" t="n">
        <v>14.84</v>
      </c>
      <c r="S7" s="19" t="n">
        <v>16.9</v>
      </c>
      <c r="T7" s="19" t="n">
        <v>12.28</v>
      </c>
      <c r="U7" s="18" t="n">
        <v>10.6</v>
      </c>
      <c r="V7" s="20" t="n">
        <f aca="false">(N7*5+O7*5+P7*5+Q7*4+R7*4+S7*3+T7*3+U7*5)/34</f>
        <v>13.0711764705882</v>
      </c>
      <c r="W7" s="21" t="n">
        <f aca="false">(L7+V7)/2</f>
        <v>12.9066227180527</v>
      </c>
      <c r="X7" s="14" t="n">
        <f aca="false">COUNTIF(E7:K7,"&lt;12")+COUNTIF(N7:U7,"&lt;12")</f>
        <v>3</v>
      </c>
      <c r="Y7" s="22" t="s">
        <v>34</v>
      </c>
    </row>
    <row r="8" customFormat="false" ht="18" hidden="false" customHeight="true" outlineLevel="0" collapsed="false">
      <c r="A8" s="23" t="s">
        <v>41</v>
      </c>
      <c r="B8" s="23" t="s">
        <v>42</v>
      </c>
      <c r="C8" s="23" t="s">
        <v>43</v>
      </c>
      <c r="D8" s="17" t="n">
        <v>20</v>
      </c>
      <c r="E8" s="18" t="n">
        <v>10.73</v>
      </c>
      <c r="F8" s="19" t="n">
        <v>14.99</v>
      </c>
      <c r="G8" s="19" t="n">
        <v>14.61</v>
      </c>
      <c r="H8" s="19" t="n">
        <v>13.41</v>
      </c>
      <c r="I8" s="19" t="n">
        <v>16.53</v>
      </c>
      <c r="J8" s="19" t="n">
        <v>13.74</v>
      </c>
      <c r="K8" s="19" t="n">
        <v>16.73</v>
      </c>
      <c r="L8" s="20" t="n">
        <f aca="false">(E8*5+F8*5+G8*5+H8*4+I8*4+J8*3+K8*3)/29</f>
        <v>14.2351724137931</v>
      </c>
      <c r="M8" s="17" t="n">
        <v>0</v>
      </c>
      <c r="N8" s="19" t="n">
        <v>14.49</v>
      </c>
      <c r="O8" s="19" t="n">
        <v>13.11</v>
      </c>
      <c r="P8" s="19" t="n">
        <v>13.66</v>
      </c>
      <c r="Q8" s="18" t="n">
        <v>11.54</v>
      </c>
      <c r="R8" s="19" t="n">
        <v>19.32</v>
      </c>
      <c r="S8" s="19" t="n">
        <v>17.08</v>
      </c>
      <c r="T8" s="18" t="n">
        <v>9.99</v>
      </c>
      <c r="U8" s="19" t="n">
        <v>12.29</v>
      </c>
      <c r="V8" s="20" t="n">
        <f aca="false">(N8*5+O8*5+P8*5+Q8*4+R8*4+S8*3+T8*3+U8*5)/34</f>
        <v>13.8941176470588</v>
      </c>
      <c r="W8" s="21" t="n">
        <f aca="false">(L8+V8)/2</f>
        <v>14.064645030426</v>
      </c>
      <c r="X8" s="14" t="n">
        <f aca="false">COUNTIF(E8:K8,"&lt;12")+COUNTIF(N8:U8,"&lt;12")</f>
        <v>3</v>
      </c>
      <c r="Y8" s="22" t="s">
        <v>34</v>
      </c>
    </row>
    <row r="9" customFormat="false" ht="18" hidden="false" customHeight="true" outlineLevel="0" collapsed="false">
      <c r="A9" s="16" t="s">
        <v>44</v>
      </c>
      <c r="B9" s="16" t="s">
        <v>45</v>
      </c>
      <c r="C9" s="16" t="s">
        <v>46</v>
      </c>
      <c r="D9" s="17" t="n">
        <v>11</v>
      </c>
      <c r="E9" s="19" t="n">
        <v>12.48</v>
      </c>
      <c r="F9" s="19" t="n">
        <v>13.47</v>
      </c>
      <c r="G9" s="19" t="n">
        <v>12.12</v>
      </c>
      <c r="H9" s="19" t="n">
        <v>14.03</v>
      </c>
      <c r="I9" s="18" t="n">
        <v>11.23</v>
      </c>
      <c r="J9" s="19" t="n">
        <v>14.35</v>
      </c>
      <c r="K9" s="19" t="n">
        <v>13.78</v>
      </c>
      <c r="L9" s="20" t="n">
        <f aca="false">(E9*5+F9*5+G9*5+H9*4+I9*4+J9*3+K9*3)/29</f>
        <v>12.9579310344828</v>
      </c>
      <c r="M9" s="17" t="n">
        <v>2</v>
      </c>
      <c r="N9" s="19" t="n">
        <v>15.85</v>
      </c>
      <c r="O9" s="19" t="n">
        <v>13.51</v>
      </c>
      <c r="P9" s="19" t="n">
        <v>14.04</v>
      </c>
      <c r="Q9" s="19" t="n">
        <v>12.63</v>
      </c>
      <c r="R9" s="18" t="n">
        <v>11.13</v>
      </c>
      <c r="S9" s="19" t="n">
        <v>13.43</v>
      </c>
      <c r="T9" s="18" t="n">
        <v>10.48</v>
      </c>
      <c r="U9" s="19" t="n">
        <v>14.61</v>
      </c>
      <c r="V9" s="20" t="n">
        <f aca="false">(N9*5+O9*5+P9*5+Q9*4+R9*4+S9*3+T9*3+U9*5)/34</f>
        <v>13.4358823529412</v>
      </c>
      <c r="W9" s="21" t="n">
        <f aca="false">(L9+V9)/2</f>
        <v>13.196906693712</v>
      </c>
      <c r="X9" s="14" t="n">
        <f aca="false">COUNTIF(E9:K9,"&lt;12")+COUNTIF(N9:U9,"&lt;12")</f>
        <v>3</v>
      </c>
      <c r="Y9" s="22" t="s">
        <v>34</v>
      </c>
    </row>
    <row r="10" customFormat="false" ht="18" hidden="false" customHeight="true" outlineLevel="0" collapsed="false">
      <c r="A10" s="23" t="s">
        <v>47</v>
      </c>
      <c r="B10" s="23" t="s">
        <v>48</v>
      </c>
      <c r="C10" s="23" t="s">
        <v>49</v>
      </c>
      <c r="D10" s="17" t="n">
        <v>6</v>
      </c>
      <c r="E10" s="19" t="n">
        <v>13.7</v>
      </c>
      <c r="F10" s="18" t="n">
        <v>8.75</v>
      </c>
      <c r="G10" s="18" t="n">
        <v>9.29</v>
      </c>
      <c r="H10" s="19" t="n">
        <v>12.78</v>
      </c>
      <c r="I10" s="19" t="n">
        <v>17.93</v>
      </c>
      <c r="J10" s="19" t="n">
        <v>12.47</v>
      </c>
      <c r="K10" s="19" t="n">
        <v>17.1</v>
      </c>
      <c r="L10" s="20" t="n">
        <f aca="false">(E10*5+F10*5+G10*5+H10*4+I10*4+J10*3+K10*3)/29</f>
        <v>12.7672413793103</v>
      </c>
      <c r="M10" s="17" t="n">
        <v>3</v>
      </c>
      <c r="N10" s="19" t="n">
        <v>12.92</v>
      </c>
      <c r="O10" s="19" t="n">
        <v>19.49</v>
      </c>
      <c r="P10" s="19" t="n">
        <v>17.45</v>
      </c>
      <c r="Q10" s="19" t="n">
        <v>19.11</v>
      </c>
      <c r="R10" s="19" t="n">
        <v>18.58</v>
      </c>
      <c r="S10" s="19" t="n">
        <v>17.61</v>
      </c>
      <c r="T10" s="18" t="n">
        <v>9.08</v>
      </c>
      <c r="U10" s="19" t="n">
        <v>14.61</v>
      </c>
      <c r="V10" s="20" t="n">
        <f aca="false">(N10*5+O10*5+P10*5+Q10*4+R10*4+S10*3+T10*3+U10*5)/34</f>
        <v>16.27</v>
      </c>
      <c r="W10" s="21" t="n">
        <f aca="false">(L10+V10)/2</f>
        <v>14.5186206896552</v>
      </c>
      <c r="X10" s="14" t="n">
        <f aca="false">COUNTIF(E10:K10,"&lt;12")+COUNTIF(N10:U10,"&lt;12")</f>
        <v>3</v>
      </c>
      <c r="Y10" s="22" t="s">
        <v>34</v>
      </c>
    </row>
    <row r="11" customFormat="false" ht="18" hidden="false" customHeight="true" outlineLevel="0" collapsed="false">
      <c r="A11" s="16" t="s">
        <v>50</v>
      </c>
      <c r="B11" s="16" t="s">
        <v>51</v>
      </c>
      <c r="C11" s="16" t="s">
        <v>52</v>
      </c>
      <c r="D11" s="17" t="n">
        <v>16</v>
      </c>
      <c r="E11" s="19" t="n">
        <v>18.49</v>
      </c>
      <c r="F11" s="19" t="n">
        <v>13.64</v>
      </c>
      <c r="G11" s="19" t="n">
        <v>14.4</v>
      </c>
      <c r="H11" s="19" t="n">
        <v>13.35</v>
      </c>
      <c r="I11" s="19" t="n">
        <v>17.64</v>
      </c>
      <c r="J11" s="18" t="n">
        <v>7.86</v>
      </c>
      <c r="K11" s="19" t="n">
        <v>12.91</v>
      </c>
      <c r="L11" s="20" t="n">
        <f aca="false">(E11*5+F11*5+G11*5+H11*4+I11*4+J11*3+K11*3)/29</f>
        <v>14.4455172413793</v>
      </c>
      <c r="M11" s="17" t="n">
        <v>12</v>
      </c>
      <c r="N11" s="18" t="n">
        <v>8.5</v>
      </c>
      <c r="O11" s="19" t="n">
        <v>18.13</v>
      </c>
      <c r="P11" s="18" t="n">
        <v>10.08</v>
      </c>
      <c r="Q11" s="19" t="n">
        <v>14.43</v>
      </c>
      <c r="R11" s="19" t="n">
        <v>14.74</v>
      </c>
      <c r="S11" s="19" t="n">
        <v>12.24</v>
      </c>
      <c r="T11" s="19" t="n">
        <v>14.3</v>
      </c>
      <c r="U11" s="19" t="n">
        <v>14.97</v>
      </c>
      <c r="V11" s="20" t="n">
        <f aca="false">(N11*5+O11*5+P11*5+Q11*4+R11*4+S11*3+T11*3+U11*5)/34</f>
        <v>13.3735294117647</v>
      </c>
      <c r="W11" s="21" t="n">
        <f aca="false">(L11+V11)/2</f>
        <v>13.909523326572</v>
      </c>
      <c r="X11" s="14" t="n">
        <f aca="false">COUNTIF(E11:K11,"&lt;12")+COUNTIF(N11:U11,"&lt;12")</f>
        <v>3</v>
      </c>
      <c r="Y11" s="22" t="s">
        <v>34</v>
      </c>
    </row>
    <row r="12" customFormat="false" ht="18" hidden="false" customHeight="true" outlineLevel="0" collapsed="false">
      <c r="A12" s="23" t="s">
        <v>53</v>
      </c>
      <c r="B12" s="23" t="s">
        <v>54</v>
      </c>
      <c r="C12" s="23" t="s">
        <v>55</v>
      </c>
      <c r="D12" s="17" t="n">
        <v>9</v>
      </c>
      <c r="E12" s="18" t="n">
        <v>8.97</v>
      </c>
      <c r="F12" s="19" t="n">
        <v>17.42</v>
      </c>
      <c r="G12" s="19" t="n">
        <v>15.79</v>
      </c>
      <c r="H12" s="19" t="n">
        <v>14.65</v>
      </c>
      <c r="I12" s="19" t="n">
        <v>19.34</v>
      </c>
      <c r="J12" s="19" t="n">
        <v>15.17</v>
      </c>
      <c r="K12" s="19" t="n">
        <v>12.32</v>
      </c>
      <c r="L12" s="20" t="n">
        <f aca="false">(E12*5+F12*5+G12*5+H12*4+I12*4+J12*3+K12*3)/29</f>
        <v>14.8044827586207</v>
      </c>
      <c r="M12" s="17" t="n">
        <v>9</v>
      </c>
      <c r="N12" s="19" t="n">
        <v>18.65</v>
      </c>
      <c r="O12" s="19" t="n">
        <v>12.33</v>
      </c>
      <c r="P12" s="19" t="n">
        <v>17.98</v>
      </c>
      <c r="Q12" s="18" t="n">
        <v>10.31</v>
      </c>
      <c r="R12" s="19" t="n">
        <v>18.12</v>
      </c>
      <c r="S12" s="19" t="n">
        <v>16.28</v>
      </c>
      <c r="T12" s="18" t="n">
        <v>8.94</v>
      </c>
      <c r="U12" s="19" t="n">
        <v>12.68</v>
      </c>
      <c r="V12" s="20" t="n">
        <f aca="false">(N12*5+O12*5+P12*5+Q12*4+R12*4+S12*3+T12*3+U12*5)/34</f>
        <v>14.6347058823529</v>
      </c>
      <c r="W12" s="21" t="n">
        <f aca="false">(L12+V12)/2</f>
        <v>14.7195943204868</v>
      </c>
      <c r="X12" s="14" t="n">
        <f aca="false">COUNTIF(E12:K12,"&lt;12")+COUNTIF(N12:U12,"&lt;12")</f>
        <v>3</v>
      </c>
      <c r="Y12" s="22" t="s">
        <v>34</v>
      </c>
    </row>
    <row r="13" customFormat="false" ht="18" hidden="false" customHeight="true" outlineLevel="0" collapsed="false">
      <c r="A13" s="16" t="s">
        <v>56</v>
      </c>
      <c r="B13" s="16" t="s">
        <v>57</v>
      </c>
      <c r="C13" s="16" t="s">
        <v>58</v>
      </c>
      <c r="D13" s="17" t="n">
        <v>2</v>
      </c>
      <c r="E13" s="19" t="n">
        <v>18.81</v>
      </c>
      <c r="F13" s="19" t="n">
        <v>15.64</v>
      </c>
      <c r="G13" s="19" t="n">
        <v>14.04</v>
      </c>
      <c r="H13" s="19" t="n">
        <v>14.13</v>
      </c>
      <c r="I13" s="18" t="n">
        <v>11.62</v>
      </c>
      <c r="J13" s="19" t="n">
        <v>13.91</v>
      </c>
      <c r="K13" s="19" t="n">
        <v>12.37</v>
      </c>
      <c r="L13" s="20" t="n">
        <f aca="false">(E13*5+F13*5+G13*5+H13*4+I13*4+J13*3+K13*3)/29</f>
        <v>14.6306896551724</v>
      </c>
      <c r="M13" s="17" t="n">
        <v>11</v>
      </c>
      <c r="N13" s="19" t="n">
        <v>18.24</v>
      </c>
      <c r="O13" s="19" t="n">
        <v>16.95</v>
      </c>
      <c r="P13" s="19" t="n">
        <v>17.76</v>
      </c>
      <c r="Q13" s="19" t="n">
        <v>18.24</v>
      </c>
      <c r="R13" s="19" t="n">
        <v>13.85</v>
      </c>
      <c r="S13" s="18" t="n">
        <v>10.12</v>
      </c>
      <c r="T13" s="19" t="n">
        <v>13.55</v>
      </c>
      <c r="U13" s="19" t="n">
        <v>17.41</v>
      </c>
      <c r="V13" s="20" t="n">
        <f aca="false">(N13*5+O13*5+P13*5+Q13*4+R13*4+S13*3+T13*3+U13*5)/34</f>
        <v>16.2108823529412</v>
      </c>
      <c r="W13" s="21" t="n">
        <f aca="false">(L13+V13)/2</f>
        <v>15.4207860040568</v>
      </c>
      <c r="X13" s="14" t="n">
        <f aca="false">COUNTIF(E13:K13,"&lt;12")+COUNTIF(N13:U13,"&lt;12")</f>
        <v>2</v>
      </c>
      <c r="Y13" s="22" t="s">
        <v>34</v>
      </c>
    </row>
    <row r="14" customFormat="false" ht="18" hidden="false" customHeight="true" outlineLevel="0" collapsed="false">
      <c r="A14" s="23" t="s">
        <v>59</v>
      </c>
      <c r="B14" s="23" t="s">
        <v>60</v>
      </c>
      <c r="C14" s="23" t="s">
        <v>61</v>
      </c>
      <c r="D14" s="17" t="n">
        <v>15</v>
      </c>
      <c r="E14" s="19" t="n">
        <v>13.01</v>
      </c>
      <c r="F14" s="19" t="n">
        <v>17.21</v>
      </c>
      <c r="G14" s="19" t="n">
        <v>12.75</v>
      </c>
      <c r="H14" s="18" t="n">
        <v>10.81</v>
      </c>
      <c r="I14" s="19" t="n">
        <v>16.94</v>
      </c>
      <c r="J14" s="19" t="n">
        <v>13.42</v>
      </c>
      <c r="K14" s="19" t="n">
        <v>13.39</v>
      </c>
      <c r="L14" s="20" t="n">
        <f aca="false">(E14*5+F14*5+G14*5+H14*4+I14*4+J14*3+K14*3)/29</f>
        <v>14.0096551724138</v>
      </c>
      <c r="M14" s="17" t="n">
        <v>10</v>
      </c>
      <c r="N14" s="19" t="n">
        <v>14.09</v>
      </c>
      <c r="O14" s="19" t="n">
        <v>14.44</v>
      </c>
      <c r="P14" s="19" t="n">
        <v>16.67</v>
      </c>
      <c r="Q14" s="18" t="n">
        <v>11.39</v>
      </c>
      <c r="R14" s="19" t="n">
        <v>13.37</v>
      </c>
      <c r="S14" s="19" t="n">
        <v>15.49</v>
      </c>
      <c r="T14" s="19" t="n">
        <v>17.55</v>
      </c>
      <c r="U14" s="19" t="n">
        <v>13.15</v>
      </c>
      <c r="V14" s="20" t="n">
        <f aca="false">(N14*5+O14*5+P14*5+Q14*4+R14*4+S14*3+T14*3+U14*5)/34</f>
        <v>14.4091176470588</v>
      </c>
      <c r="W14" s="21" t="n">
        <f aca="false">(L14+V14)/2</f>
        <v>14.2093864097363</v>
      </c>
      <c r="X14" s="14" t="n">
        <f aca="false">COUNTIF(E14:K14,"&lt;12")+COUNTIF(N14:U14,"&lt;12")</f>
        <v>2</v>
      </c>
      <c r="Y14" s="22" t="s">
        <v>34</v>
      </c>
    </row>
    <row r="15" customFormat="false" ht="18" hidden="false" customHeight="true" outlineLevel="0" collapsed="false">
      <c r="A15" s="16" t="s">
        <v>62</v>
      </c>
      <c r="B15" s="16" t="s">
        <v>63</v>
      </c>
      <c r="C15" s="16" t="s">
        <v>64</v>
      </c>
      <c r="D15" s="17" t="n">
        <v>6</v>
      </c>
      <c r="E15" s="18" t="n">
        <v>11.55</v>
      </c>
      <c r="F15" s="19" t="n">
        <v>13.58</v>
      </c>
      <c r="G15" s="19" t="n">
        <v>15.3</v>
      </c>
      <c r="H15" s="18" t="n">
        <v>11.13</v>
      </c>
      <c r="I15" s="19" t="n">
        <v>13.49</v>
      </c>
      <c r="J15" s="19" t="n">
        <v>17.6</v>
      </c>
      <c r="K15" s="19" t="n">
        <v>16</v>
      </c>
      <c r="L15" s="20" t="n">
        <f aca="false">(E15*5+F15*5+G15*5+H15*4+I15*4+J15*3+K15*3)/29</f>
        <v>13.8424137931034</v>
      </c>
      <c r="M15" s="17" t="n">
        <v>9</v>
      </c>
      <c r="N15" s="19" t="n">
        <v>15.34</v>
      </c>
      <c r="O15" s="19" t="n">
        <v>13.79</v>
      </c>
      <c r="P15" s="19" t="n">
        <v>15.72</v>
      </c>
      <c r="Q15" s="19" t="n">
        <v>13.93</v>
      </c>
      <c r="R15" s="19" t="n">
        <v>14.17</v>
      </c>
      <c r="S15" s="19" t="n">
        <v>15.31</v>
      </c>
      <c r="T15" s="18" t="n">
        <v>11.74</v>
      </c>
      <c r="U15" s="19" t="n">
        <v>17.11</v>
      </c>
      <c r="V15" s="20" t="n">
        <f aca="false">(N15*5+O15*5+P15*5+Q15*4+R15*4+S15*3+T15*3+U15*5)/34</f>
        <v>14.8044117647059</v>
      </c>
      <c r="W15" s="21" t="n">
        <f aca="false">(L15+V15)/2</f>
        <v>14.3234127789047</v>
      </c>
      <c r="X15" s="14" t="n">
        <f aca="false">COUNTIF(E15:K15,"&lt;12")+COUNTIF(N15:U15,"&lt;12")</f>
        <v>3</v>
      </c>
      <c r="Y15" s="22" t="s">
        <v>34</v>
      </c>
    </row>
    <row r="16" customFormat="false" ht="18" hidden="false" customHeight="true" outlineLevel="0" collapsed="false">
      <c r="A16" s="23" t="s">
        <v>65</v>
      </c>
      <c r="B16" s="23" t="s">
        <v>66</v>
      </c>
      <c r="C16" s="23" t="s">
        <v>67</v>
      </c>
      <c r="D16" s="17" t="n">
        <v>7</v>
      </c>
      <c r="E16" s="19" t="n">
        <v>15.41</v>
      </c>
      <c r="F16" s="19" t="n">
        <v>12.29</v>
      </c>
      <c r="G16" s="19" t="n">
        <v>12.79</v>
      </c>
      <c r="H16" s="19" t="n">
        <v>12.21</v>
      </c>
      <c r="I16" s="18" t="n">
        <v>10.06</v>
      </c>
      <c r="J16" s="19" t="n">
        <v>12.94</v>
      </c>
      <c r="K16" s="19" t="n">
        <v>17.62</v>
      </c>
      <c r="L16" s="20" t="n">
        <f aca="false">(E16*5+F16*5+G16*5+H16*4+I16*4+J16*3+K16*3)/29</f>
        <v>13.2141379310345</v>
      </c>
      <c r="M16" s="17" t="n">
        <v>13</v>
      </c>
      <c r="N16" s="19" t="n">
        <v>18.08</v>
      </c>
      <c r="O16" s="19" t="n">
        <v>14.2</v>
      </c>
      <c r="P16" s="19" t="n">
        <v>15.98</v>
      </c>
      <c r="Q16" s="18" t="n">
        <v>11.8</v>
      </c>
      <c r="R16" s="19" t="n">
        <v>12</v>
      </c>
      <c r="S16" s="19" t="n">
        <v>12.65</v>
      </c>
      <c r="T16" s="19" t="n">
        <v>15.6</v>
      </c>
      <c r="U16" s="19" t="n">
        <v>18.48</v>
      </c>
      <c r="V16" s="20" t="n">
        <f aca="false">(N16*5+O16*5+P16*5+Q16*4+R16*4+S16*3+T16*3+U16*5)/34</f>
        <v>15.1073529411765</v>
      </c>
      <c r="W16" s="21" t="n">
        <f aca="false">(L16+V16)/2</f>
        <v>14.1607454361055</v>
      </c>
      <c r="X16" s="14" t="n">
        <f aca="false">COUNTIF(E16:K16,"&lt;12")+COUNTIF(N16:U16,"&lt;12")</f>
        <v>2</v>
      </c>
      <c r="Y16" s="22" t="s">
        <v>34</v>
      </c>
    </row>
    <row r="17" customFormat="false" ht="18" hidden="false" customHeight="true" outlineLevel="0" collapsed="false">
      <c r="A17" s="16" t="s">
        <v>68</v>
      </c>
      <c r="B17" s="16" t="s">
        <v>69</v>
      </c>
      <c r="C17" s="16" t="s">
        <v>70</v>
      </c>
      <c r="D17" s="17" t="n">
        <v>14</v>
      </c>
      <c r="E17" s="19" t="n">
        <v>18.22</v>
      </c>
      <c r="F17" s="19" t="n">
        <v>16.3</v>
      </c>
      <c r="G17" s="19" t="n">
        <v>12.93</v>
      </c>
      <c r="H17" s="18" t="n">
        <v>10.24</v>
      </c>
      <c r="I17" s="19" t="n">
        <v>13.63</v>
      </c>
      <c r="J17" s="19" t="n">
        <v>14.97</v>
      </c>
      <c r="K17" s="19" t="n">
        <v>16.57</v>
      </c>
      <c r="L17" s="20" t="n">
        <f aca="false">(E17*5+F17*5+G17*5+H17*4+I17*4+J17*3+K17*3)/29</f>
        <v>14.7362068965517</v>
      </c>
      <c r="M17" s="17" t="n">
        <v>20</v>
      </c>
      <c r="N17" s="19" t="n">
        <v>12.77</v>
      </c>
      <c r="O17" s="19" t="n">
        <v>12.5</v>
      </c>
      <c r="P17" s="19" t="n">
        <v>15.92</v>
      </c>
      <c r="Q17" s="19" t="n">
        <v>12.34</v>
      </c>
      <c r="R17" s="18" t="n">
        <v>11.2</v>
      </c>
      <c r="S17" s="19" t="n">
        <v>18.16</v>
      </c>
      <c r="T17" s="19" t="n">
        <v>12.66</v>
      </c>
      <c r="U17" s="18" t="n">
        <v>11.43</v>
      </c>
      <c r="V17" s="20" t="n">
        <f aca="false">(N17*5+O17*5+P17*5+Q17*4+R17*4+S17*3+T17*3+U17*5)/34</f>
        <v>13.2270588235294</v>
      </c>
      <c r="W17" s="21" t="n">
        <f aca="false">(L17+V17)/2</f>
        <v>13.9816328600406</v>
      </c>
      <c r="X17" s="14" t="n">
        <f aca="false">COUNTIF(E17:K17,"&lt;12")+COUNTIF(N17:U17,"&lt;12")</f>
        <v>3</v>
      </c>
      <c r="Y17" s="22" t="s">
        <v>34</v>
      </c>
    </row>
    <row r="18" customFormat="false" ht="18" hidden="false" customHeight="true" outlineLevel="0" collapsed="false">
      <c r="A18" s="23" t="s">
        <v>71</v>
      </c>
      <c r="B18" s="23" t="s">
        <v>72</v>
      </c>
      <c r="C18" s="23" t="s">
        <v>73</v>
      </c>
      <c r="D18" s="17" t="n">
        <v>17</v>
      </c>
      <c r="E18" s="19" t="n">
        <v>17</v>
      </c>
      <c r="F18" s="19" t="n">
        <v>18.22</v>
      </c>
      <c r="G18" s="19" t="n">
        <v>13.1</v>
      </c>
      <c r="H18" s="18" t="n">
        <v>10.41</v>
      </c>
      <c r="I18" s="19" t="n">
        <v>13.07</v>
      </c>
      <c r="J18" s="18" t="n">
        <v>11.86</v>
      </c>
      <c r="K18" s="19" t="n">
        <v>15.36</v>
      </c>
      <c r="L18" s="20" t="n">
        <f aca="false">(E18*5+F18*5+G18*5+H18*4+I18*4+J18*3+K18*3)/29</f>
        <v>14.3855172413793</v>
      </c>
      <c r="M18" s="17" t="n">
        <v>5</v>
      </c>
      <c r="N18" s="19" t="n">
        <v>17.51</v>
      </c>
      <c r="O18" s="19" t="n">
        <v>18.49</v>
      </c>
      <c r="P18" s="19" t="n">
        <v>19.26</v>
      </c>
      <c r="Q18" s="19" t="n">
        <v>13.68</v>
      </c>
      <c r="R18" s="19" t="n">
        <v>18.34</v>
      </c>
      <c r="S18" s="19" t="n">
        <v>14.4</v>
      </c>
      <c r="T18" s="19" t="n">
        <v>15.29</v>
      </c>
      <c r="U18" s="18" t="n">
        <v>10.8</v>
      </c>
      <c r="V18" s="20" t="n">
        <f aca="false">(N18*5+O18*5+P18*5+Q18*4+R18*4+S18*3+T18*3+U18*5)/34</f>
        <v>16.1014705882353</v>
      </c>
      <c r="W18" s="21" t="n">
        <f aca="false">(L18+V18)/2</f>
        <v>15.2434939148073</v>
      </c>
      <c r="X18" s="14" t="n">
        <f aca="false">COUNTIF(E18:K18,"&lt;12")+COUNTIF(N18:U18,"&lt;12")</f>
        <v>3</v>
      </c>
      <c r="Y18" s="22" t="s">
        <v>34</v>
      </c>
    </row>
    <row r="19" customFormat="false" ht="18" hidden="false" customHeight="true" outlineLevel="0" collapsed="false">
      <c r="A19" s="16" t="s">
        <v>74</v>
      </c>
      <c r="B19" s="16" t="s">
        <v>75</v>
      </c>
      <c r="C19" s="16" t="s">
        <v>76</v>
      </c>
      <c r="D19" s="17" t="n">
        <v>7</v>
      </c>
      <c r="E19" s="18" t="n">
        <v>9.49</v>
      </c>
      <c r="F19" s="19" t="n">
        <v>12.98</v>
      </c>
      <c r="G19" s="19" t="n">
        <v>14.35</v>
      </c>
      <c r="H19" s="19" t="n">
        <v>12.74</v>
      </c>
      <c r="I19" s="19" t="n">
        <v>15.37</v>
      </c>
      <c r="J19" s="19" t="n">
        <v>14.05</v>
      </c>
      <c r="K19" s="18" t="n">
        <v>9.72</v>
      </c>
      <c r="L19" s="20" t="n">
        <f aca="false">(E19*5+F19*5+G19*5+H19*4+I19*4+J19*3+K19*3)/29</f>
        <v>12.6844827586207</v>
      </c>
      <c r="M19" s="17" t="n">
        <v>11</v>
      </c>
      <c r="N19" s="19" t="n">
        <v>13.66</v>
      </c>
      <c r="O19" s="19" t="n">
        <v>14.59</v>
      </c>
      <c r="P19" s="19" t="n">
        <v>16.35</v>
      </c>
      <c r="Q19" s="19" t="n">
        <v>12.6</v>
      </c>
      <c r="R19" s="19" t="n">
        <v>17.24</v>
      </c>
      <c r="S19" s="19" t="n">
        <v>19.06</v>
      </c>
      <c r="T19" s="19" t="n">
        <v>12.99</v>
      </c>
      <c r="U19" s="18" t="n">
        <v>10.24</v>
      </c>
      <c r="V19" s="20" t="n">
        <f aca="false">(N19*5+O19*5+P19*5+Q19*4+R19*4+S19*3+T19*3+U19*5)/34</f>
        <v>14.4032352941176</v>
      </c>
      <c r="W19" s="21" t="n">
        <f aca="false">(L19+V19)/2</f>
        <v>13.5438590263692</v>
      </c>
      <c r="X19" s="14" t="n">
        <f aca="false">COUNTIF(E19:K19,"&lt;12")+COUNTIF(N19:U19,"&lt;12")</f>
        <v>3</v>
      </c>
      <c r="Y19" s="22" t="s">
        <v>34</v>
      </c>
    </row>
    <row r="20" customFormat="false" ht="18" hidden="false" customHeight="true" outlineLevel="0" collapsed="false">
      <c r="A20" s="23" t="s">
        <v>77</v>
      </c>
      <c r="B20" s="23" t="s">
        <v>78</v>
      </c>
      <c r="C20" s="23" t="s">
        <v>79</v>
      </c>
      <c r="D20" s="17" t="n">
        <v>0</v>
      </c>
      <c r="E20" s="19" t="n">
        <v>17.62</v>
      </c>
      <c r="F20" s="19" t="n">
        <v>17.28</v>
      </c>
      <c r="G20" s="18" t="n">
        <v>8.32</v>
      </c>
      <c r="H20" s="19" t="n">
        <v>19.01</v>
      </c>
      <c r="I20" s="19" t="n">
        <v>14.94</v>
      </c>
      <c r="J20" s="19" t="n">
        <v>17.36</v>
      </c>
      <c r="K20" s="19" t="n">
        <v>15.84</v>
      </c>
      <c r="L20" s="20" t="n">
        <f aca="false">(E20*5+F20*5+G20*5+H20*4+I20*4+J20*3+K20*3)/29</f>
        <v>15.5689655172414</v>
      </c>
      <c r="M20" s="17" t="n">
        <v>16</v>
      </c>
      <c r="N20" s="19" t="n">
        <v>19.07</v>
      </c>
      <c r="O20" s="18" t="n">
        <v>10.38</v>
      </c>
      <c r="P20" s="19" t="n">
        <v>17.1</v>
      </c>
      <c r="Q20" s="19" t="n">
        <v>13.73</v>
      </c>
      <c r="R20" s="19" t="n">
        <v>13.04</v>
      </c>
      <c r="S20" s="19" t="n">
        <v>12.44</v>
      </c>
      <c r="T20" s="19" t="n">
        <v>16.14</v>
      </c>
      <c r="U20" s="19" t="n">
        <v>12.55</v>
      </c>
      <c r="V20" s="20" t="n">
        <f aca="false">(N20*5+O20*5+P20*5+Q20*4+R20*4+S20*3+T20*3+U20*5)/34</f>
        <v>14.3623529411765</v>
      </c>
      <c r="W20" s="21" t="n">
        <f aca="false">(L20+V20)/2</f>
        <v>14.9656592292089</v>
      </c>
      <c r="X20" s="14" t="n">
        <f aca="false">COUNTIF(E20:K20,"&lt;12")+COUNTIF(N20:U20,"&lt;12")</f>
        <v>2</v>
      </c>
      <c r="Y20" s="22" t="s">
        <v>34</v>
      </c>
    </row>
    <row r="21" customFormat="false" ht="18" hidden="false" customHeight="true" outlineLevel="0" collapsed="false">
      <c r="A21" s="16" t="s">
        <v>80</v>
      </c>
      <c r="B21" s="16" t="s">
        <v>81</v>
      </c>
      <c r="C21" s="16" t="s">
        <v>82</v>
      </c>
      <c r="D21" s="17" t="n">
        <v>13</v>
      </c>
      <c r="E21" s="19" t="n">
        <v>13.11</v>
      </c>
      <c r="F21" s="19" t="n">
        <v>16.48</v>
      </c>
      <c r="G21" s="19" t="n">
        <v>15.63</v>
      </c>
      <c r="H21" s="19" t="n">
        <v>15.07</v>
      </c>
      <c r="I21" s="19" t="n">
        <v>13.14</v>
      </c>
      <c r="J21" s="19" t="n">
        <v>16.91</v>
      </c>
      <c r="K21" s="18" t="n">
        <v>8.16</v>
      </c>
      <c r="L21" s="20" t="n">
        <f aca="false">(E21*5+F21*5+G21*5+H21*4+I21*4+J21*3+K21*3)/29</f>
        <v>14.2810344827586</v>
      </c>
      <c r="M21" s="17" t="n">
        <v>7</v>
      </c>
      <c r="N21" s="18" t="n">
        <v>10.83</v>
      </c>
      <c r="O21" s="19" t="n">
        <v>14.27</v>
      </c>
      <c r="P21" s="19" t="n">
        <v>12.92</v>
      </c>
      <c r="Q21" s="19" t="n">
        <v>13.64</v>
      </c>
      <c r="R21" s="19" t="n">
        <v>12.32</v>
      </c>
      <c r="S21" s="19" t="n">
        <v>16.32</v>
      </c>
      <c r="T21" s="18" t="n">
        <v>11.13</v>
      </c>
      <c r="U21" s="19" t="n">
        <v>16.68</v>
      </c>
      <c r="V21" s="20" t="n">
        <f aca="false">(N21*5+O21*5+P21*5+Q21*4+R21*4+S21*3+T21*3+U21*5)/34</f>
        <v>13.5202941176471</v>
      </c>
      <c r="W21" s="21" t="n">
        <f aca="false">(L21+V21)/2</f>
        <v>13.9006643002028</v>
      </c>
      <c r="X21" s="14" t="n">
        <f aca="false">COUNTIF(E21:K21,"&lt;12")+COUNTIF(N21:U21,"&lt;12")</f>
        <v>3</v>
      </c>
      <c r="Y21" s="22" t="s">
        <v>34</v>
      </c>
    </row>
    <row r="22" customFormat="false" ht="18" hidden="false" customHeight="true" outlineLevel="0" collapsed="false">
      <c r="A22" s="23" t="s">
        <v>83</v>
      </c>
      <c r="B22" s="23" t="s">
        <v>84</v>
      </c>
      <c r="C22" s="23" t="s">
        <v>85</v>
      </c>
      <c r="D22" s="17" t="n">
        <v>17</v>
      </c>
      <c r="E22" s="19" t="n">
        <v>12.49</v>
      </c>
      <c r="F22" s="19" t="n">
        <v>13.56</v>
      </c>
      <c r="G22" s="19" t="n">
        <v>13.85</v>
      </c>
      <c r="H22" s="18" t="n">
        <v>10.65</v>
      </c>
      <c r="I22" s="19" t="n">
        <v>18.8</v>
      </c>
      <c r="J22" s="19" t="n">
        <v>14.97</v>
      </c>
      <c r="K22" s="19" t="n">
        <v>16.41</v>
      </c>
      <c r="L22" s="20" t="n">
        <f aca="false">(E22*5+F22*5+G22*5+H22*4+I22*4+J22*3+K22*3)/29</f>
        <v>14.1875862068966</v>
      </c>
      <c r="M22" s="17" t="n">
        <v>0</v>
      </c>
      <c r="N22" s="19" t="n">
        <v>14.18</v>
      </c>
      <c r="O22" s="19" t="n">
        <v>12.87</v>
      </c>
      <c r="P22" s="19" t="n">
        <v>12.51</v>
      </c>
      <c r="Q22" s="18" t="n">
        <v>9.3</v>
      </c>
      <c r="R22" s="19" t="n">
        <v>12.51</v>
      </c>
      <c r="S22" s="19" t="n">
        <v>18.76</v>
      </c>
      <c r="T22" s="19" t="n">
        <v>12.97</v>
      </c>
      <c r="U22" s="19" t="n">
        <v>17.81</v>
      </c>
      <c r="V22" s="20" t="n">
        <f aca="false">(N22*5+O22*5+P22*5+Q22*4+R22*4+S22*3+T22*3+U22*5)/34</f>
        <v>13.8023529411765</v>
      </c>
      <c r="W22" s="21" t="n">
        <f aca="false">(L22+V22)/2</f>
        <v>13.9949695740365</v>
      </c>
      <c r="X22" s="14" t="n">
        <f aca="false">COUNTIF(E22:K22,"&lt;12")+COUNTIF(N22:U22,"&lt;12")</f>
        <v>2</v>
      </c>
      <c r="Y22" s="22" t="s">
        <v>34</v>
      </c>
    </row>
    <row r="23" customFormat="false" ht="18" hidden="false" customHeight="true" outlineLevel="0" collapsed="false">
      <c r="A23" s="16" t="s">
        <v>86</v>
      </c>
      <c r="B23" s="16" t="s">
        <v>87</v>
      </c>
      <c r="C23" s="16" t="s">
        <v>88</v>
      </c>
      <c r="D23" s="17" t="n">
        <v>19</v>
      </c>
      <c r="E23" s="19" t="n">
        <v>14.47</v>
      </c>
      <c r="F23" s="19" t="n">
        <v>19</v>
      </c>
      <c r="G23" s="19" t="n">
        <v>13.74</v>
      </c>
      <c r="H23" s="19" t="n">
        <v>16.53</v>
      </c>
      <c r="I23" s="19" t="n">
        <v>14.82</v>
      </c>
      <c r="J23" s="18" t="n">
        <v>10.31</v>
      </c>
      <c r="K23" s="19" t="n">
        <v>13.44</v>
      </c>
      <c r="L23" s="20" t="n">
        <f aca="false">(E23*5+F23*5+G23*5+H23*4+I23*4+J23*3+K23*3)/29</f>
        <v>14.9206896551724</v>
      </c>
      <c r="M23" s="17" t="n">
        <v>17</v>
      </c>
      <c r="N23" s="19" t="n">
        <v>13.64</v>
      </c>
      <c r="O23" s="19" t="n">
        <v>13.01</v>
      </c>
      <c r="P23" s="19" t="n">
        <v>12.63</v>
      </c>
      <c r="Q23" s="19" t="n">
        <v>14.42</v>
      </c>
      <c r="R23" s="18" t="n">
        <v>10.64</v>
      </c>
      <c r="S23" s="18" t="n">
        <v>9.89</v>
      </c>
      <c r="T23" s="19" t="n">
        <v>15.84</v>
      </c>
      <c r="U23" s="19" t="n">
        <v>16.68</v>
      </c>
      <c r="V23" s="20" t="n">
        <f aca="false">(N23*5+O23*5+P23*5+Q23*4+R23*4+S23*3+T23*3+U23*5)/34</f>
        <v>13.4479411764706</v>
      </c>
      <c r="W23" s="21" t="n">
        <f aca="false">(L23+V23)/2</f>
        <v>14.1843154158215</v>
      </c>
      <c r="X23" s="14" t="n">
        <f aca="false">COUNTIF(E23:K23,"&lt;12")+COUNTIF(N23:U23,"&lt;12")</f>
        <v>3</v>
      </c>
      <c r="Y23" s="22" t="s">
        <v>34</v>
      </c>
    </row>
    <row r="24" customFormat="false" ht="18" hidden="false" customHeight="true" outlineLevel="0" collapsed="false">
      <c r="A24" s="23" t="s">
        <v>89</v>
      </c>
      <c r="B24" s="23" t="s">
        <v>90</v>
      </c>
      <c r="C24" s="23" t="s">
        <v>91</v>
      </c>
      <c r="D24" s="17" t="n">
        <v>14</v>
      </c>
      <c r="E24" s="19" t="n">
        <v>15.61</v>
      </c>
      <c r="F24" s="19" t="n">
        <v>15.75</v>
      </c>
      <c r="G24" s="19" t="n">
        <v>18.78</v>
      </c>
      <c r="H24" s="19" t="n">
        <v>13.26</v>
      </c>
      <c r="I24" s="19" t="n">
        <v>13.17</v>
      </c>
      <c r="J24" s="18" t="n">
        <v>8.01</v>
      </c>
      <c r="K24" s="18" t="n">
        <v>7.5</v>
      </c>
      <c r="L24" s="20" t="n">
        <f aca="false">(E24*5+F24*5+G24*5+H24*4+I24*4+J24*3+K24*3)/29</f>
        <v>13.8948275862069</v>
      </c>
      <c r="M24" s="17" t="n">
        <v>10</v>
      </c>
      <c r="N24" s="19" t="n">
        <v>14.55</v>
      </c>
      <c r="O24" s="19" t="n">
        <v>13.96</v>
      </c>
      <c r="P24" s="18" t="n">
        <v>9.86</v>
      </c>
      <c r="Q24" s="19" t="n">
        <v>15.43</v>
      </c>
      <c r="R24" s="19" t="n">
        <v>17.76</v>
      </c>
      <c r="S24" s="19" t="n">
        <v>14.34</v>
      </c>
      <c r="T24" s="19" t="n">
        <v>14.12</v>
      </c>
      <c r="U24" s="19" t="n">
        <v>17.27</v>
      </c>
      <c r="V24" s="20" t="n">
        <f aca="false">(N24*5+O24*5+P24*5+Q24*4+R24*4+S24*3+T24*3+U24*5)/34</f>
        <v>14.5982352941176</v>
      </c>
      <c r="W24" s="21" t="n">
        <f aca="false">(L24+V24)/2</f>
        <v>14.2465314401623</v>
      </c>
      <c r="X24" s="14" t="n">
        <f aca="false">COUNTIF(E24:K24,"&lt;12")+COUNTIF(N24:U24,"&lt;12")</f>
        <v>3</v>
      </c>
      <c r="Y24" s="22" t="s">
        <v>34</v>
      </c>
    </row>
    <row r="25" customFormat="false" ht="18" hidden="false" customHeight="true" outlineLevel="0" collapsed="false">
      <c r="A25" s="16" t="s">
        <v>92</v>
      </c>
      <c r="B25" s="16" t="s">
        <v>93</v>
      </c>
      <c r="C25" s="16" t="s">
        <v>94</v>
      </c>
      <c r="D25" s="17" t="n">
        <v>1</v>
      </c>
      <c r="E25" s="19" t="n">
        <v>12.69</v>
      </c>
      <c r="F25" s="18" t="n">
        <v>10.93</v>
      </c>
      <c r="G25" s="18" t="n">
        <v>11.04</v>
      </c>
      <c r="H25" s="19" t="n">
        <v>19.13</v>
      </c>
      <c r="I25" s="19" t="n">
        <v>12.05</v>
      </c>
      <c r="J25" s="19" t="n">
        <v>13.43</v>
      </c>
      <c r="K25" s="19" t="n">
        <v>19.35</v>
      </c>
      <c r="L25" s="20" t="n">
        <f aca="false">(E25*5+F25*5+G25*5+H25*4+I25*4+J25*3+K25*3)/29</f>
        <v>13.6675862068966</v>
      </c>
      <c r="M25" s="17" t="n">
        <v>17</v>
      </c>
      <c r="N25" s="19" t="n">
        <v>12.77</v>
      </c>
      <c r="O25" s="18" t="n">
        <v>7.68</v>
      </c>
      <c r="P25" s="19" t="n">
        <v>13.48</v>
      </c>
      <c r="Q25" s="19" t="n">
        <v>14.78</v>
      </c>
      <c r="R25" s="19" t="n">
        <v>13.23</v>
      </c>
      <c r="S25" s="19" t="n">
        <v>12.53</v>
      </c>
      <c r="T25" s="19" t="n">
        <v>12.65</v>
      </c>
      <c r="U25" s="19" t="n">
        <v>12.54</v>
      </c>
      <c r="V25" s="20" t="n">
        <f aca="false">(N25*5+O25*5+P25*5+Q25*4+R25*4+S25*3+T25*3+U25*5)/34</f>
        <v>12.3508823529412</v>
      </c>
      <c r="W25" s="21" t="n">
        <f aca="false">(L25+V25)/2</f>
        <v>13.0092342799189</v>
      </c>
      <c r="X25" s="14" t="n">
        <f aca="false">COUNTIF(E25:K25,"&lt;12")+COUNTIF(N25:U25,"&lt;12")</f>
        <v>3</v>
      </c>
      <c r="Y25" s="22" t="s">
        <v>34</v>
      </c>
    </row>
    <row r="26" customFormat="false" ht="18" hidden="false" customHeight="true" outlineLevel="0" collapsed="false">
      <c r="A26" s="23" t="s">
        <v>95</v>
      </c>
      <c r="B26" s="23" t="s">
        <v>96</v>
      </c>
      <c r="C26" s="23" t="s">
        <v>97</v>
      </c>
      <c r="D26" s="17" t="n">
        <v>8</v>
      </c>
      <c r="E26" s="19" t="n">
        <v>12.19</v>
      </c>
      <c r="F26" s="19" t="n">
        <v>13.03</v>
      </c>
      <c r="G26" s="19" t="n">
        <v>12.9</v>
      </c>
      <c r="H26" s="19" t="n">
        <v>12.71</v>
      </c>
      <c r="I26" s="18" t="n">
        <v>8.81</v>
      </c>
      <c r="J26" s="18" t="n">
        <v>9.38</v>
      </c>
      <c r="K26" s="19" t="n">
        <v>14.49</v>
      </c>
      <c r="L26" s="20" t="n">
        <f aca="false">(E26*5+F26*5+G26*5+H26*4+I26*4+J26*3+K26*3)/29</f>
        <v>12.01</v>
      </c>
      <c r="M26" s="17" t="n">
        <v>4</v>
      </c>
      <c r="N26" s="19" t="n">
        <v>17.8</v>
      </c>
      <c r="O26" s="18" t="n">
        <v>10.45</v>
      </c>
      <c r="P26" s="19" t="n">
        <v>16.88</v>
      </c>
      <c r="Q26" s="19" t="n">
        <v>12.19</v>
      </c>
      <c r="R26" s="19" t="n">
        <v>18.68</v>
      </c>
      <c r="S26" s="19" t="n">
        <v>13.35</v>
      </c>
      <c r="T26" s="19" t="n">
        <v>17.26</v>
      </c>
      <c r="U26" s="19" t="n">
        <v>12.69</v>
      </c>
      <c r="V26" s="20" t="n">
        <f aca="false">(N26*5+O26*5+P26*5+Q26*4+R26*4+S26*3+T26*3+U26*5)/34</f>
        <v>14.8355882352941</v>
      </c>
      <c r="W26" s="21" t="n">
        <f aca="false">(L26+V26)/2</f>
        <v>13.4227941176471</v>
      </c>
      <c r="X26" s="14" t="n">
        <f aca="false">COUNTIF(E26:K26,"&lt;12")+COUNTIF(N26:U26,"&lt;12")</f>
        <v>3</v>
      </c>
      <c r="Y26" s="22" t="s">
        <v>34</v>
      </c>
    </row>
    <row r="27" customFormat="false" ht="18" hidden="false" customHeight="true" outlineLevel="0" collapsed="false">
      <c r="A27" s="16" t="s">
        <v>98</v>
      </c>
      <c r="B27" s="16" t="s">
        <v>99</v>
      </c>
      <c r="C27" s="16" t="s">
        <v>100</v>
      </c>
      <c r="D27" s="17" t="n">
        <v>12</v>
      </c>
      <c r="E27" s="19" t="n">
        <v>19.36</v>
      </c>
      <c r="F27" s="19" t="n">
        <v>16.9</v>
      </c>
      <c r="G27" s="19" t="n">
        <v>15.15</v>
      </c>
      <c r="H27" s="18" t="n">
        <v>8.9</v>
      </c>
      <c r="I27" s="19" t="n">
        <v>19.06</v>
      </c>
      <c r="J27" s="18" t="n">
        <v>8.58</v>
      </c>
      <c r="K27" s="19" t="n">
        <v>19.07</v>
      </c>
      <c r="L27" s="20" t="n">
        <f aca="false">(E27*5+F27*5+G27*5+H27*4+I27*4+J27*3+K27*3)/29</f>
        <v>15.5806896551724</v>
      </c>
      <c r="M27" s="17" t="n">
        <v>3</v>
      </c>
      <c r="N27" s="19" t="n">
        <v>17.93</v>
      </c>
      <c r="O27" s="19" t="n">
        <v>12.5</v>
      </c>
      <c r="P27" s="19" t="n">
        <v>13.57</v>
      </c>
      <c r="Q27" s="19" t="n">
        <v>12.71</v>
      </c>
      <c r="R27" s="19" t="n">
        <v>16.03</v>
      </c>
      <c r="S27" s="19" t="n">
        <v>12.12</v>
      </c>
      <c r="T27" s="19" t="n">
        <v>15.18</v>
      </c>
      <c r="U27" s="18" t="n">
        <v>11.47</v>
      </c>
      <c r="V27" s="20" t="n">
        <f aca="false">(N27*5+O27*5+P27*5+Q27*4+R27*4+S27*3+T27*3+U27*5)/34</f>
        <v>13.9473529411765</v>
      </c>
      <c r="W27" s="21" t="n">
        <f aca="false">(L27+V27)/2</f>
        <v>14.7640212981744</v>
      </c>
      <c r="X27" s="14" t="n">
        <f aca="false">COUNTIF(E27:K27,"&lt;12")+COUNTIF(N27:U27,"&lt;12")</f>
        <v>3</v>
      </c>
      <c r="Y27" s="22" t="s">
        <v>34</v>
      </c>
    </row>
    <row r="28" customFormat="false" ht="18" hidden="false" customHeight="true" outlineLevel="0" collapsed="false">
      <c r="A28" s="23" t="s">
        <v>101</v>
      </c>
      <c r="B28" s="23" t="s">
        <v>102</v>
      </c>
      <c r="C28" s="23" t="s">
        <v>103</v>
      </c>
      <c r="D28" s="17" t="n">
        <v>13</v>
      </c>
      <c r="E28" s="19" t="n">
        <v>19.23</v>
      </c>
      <c r="F28" s="19" t="n">
        <v>16.5</v>
      </c>
      <c r="G28" s="19" t="n">
        <v>15.8</v>
      </c>
      <c r="H28" s="19" t="n">
        <v>12.86</v>
      </c>
      <c r="I28" s="19" t="n">
        <v>12.61</v>
      </c>
      <c r="J28" s="18" t="n">
        <v>10.74</v>
      </c>
      <c r="K28" s="19" t="n">
        <v>12.18</v>
      </c>
      <c r="L28" s="20" t="n">
        <f aca="false">(E28*5+F28*5+G28*5+H28*4+I28*4+J28*3+K28*3)/29</f>
        <v>14.7686206896552</v>
      </c>
      <c r="M28" s="17" t="n">
        <v>1</v>
      </c>
      <c r="N28" s="19" t="n">
        <v>14.2</v>
      </c>
      <c r="O28" s="18" t="n">
        <v>11.69</v>
      </c>
      <c r="P28" s="19" t="n">
        <v>12.74</v>
      </c>
      <c r="Q28" s="19" t="n">
        <v>13.64</v>
      </c>
      <c r="R28" s="19" t="n">
        <v>14.07</v>
      </c>
      <c r="S28" s="19" t="n">
        <v>16.91</v>
      </c>
      <c r="T28" s="19" t="n">
        <v>14.36</v>
      </c>
      <c r="U28" s="18" t="n">
        <v>10.75</v>
      </c>
      <c r="V28" s="20" t="n">
        <f aca="false">(N28*5+O28*5+P28*5+Q28*4+R28*4+S28*3+T28*3+U28*5)/34</f>
        <v>13.2808823529412</v>
      </c>
      <c r="W28" s="21" t="n">
        <f aca="false">(L28+V28)/2</f>
        <v>14.0247515212982</v>
      </c>
      <c r="X28" s="14" t="n">
        <f aca="false">COUNTIF(E28:K28,"&lt;12")+COUNTIF(N28:U28,"&lt;12")</f>
        <v>3</v>
      </c>
      <c r="Y28" s="22" t="s">
        <v>34</v>
      </c>
    </row>
    <row r="29" customFormat="false" ht="18" hidden="false" customHeight="true" outlineLevel="0" collapsed="false">
      <c r="A29" s="16" t="s">
        <v>104</v>
      </c>
      <c r="B29" s="16" t="s">
        <v>105</v>
      </c>
      <c r="C29" s="16" t="s">
        <v>106</v>
      </c>
      <c r="D29" s="17" t="n">
        <v>6</v>
      </c>
      <c r="E29" s="19" t="n">
        <v>19.49</v>
      </c>
      <c r="F29" s="19" t="n">
        <v>17.67</v>
      </c>
      <c r="G29" s="19" t="n">
        <v>13.67</v>
      </c>
      <c r="H29" s="18" t="n">
        <v>11.77</v>
      </c>
      <c r="I29" s="18" t="n">
        <v>11.49</v>
      </c>
      <c r="J29" s="18" t="n">
        <v>10.7</v>
      </c>
      <c r="K29" s="19" t="n">
        <v>15.74</v>
      </c>
      <c r="L29" s="20" t="n">
        <f aca="false">(E29*5+F29*5+G29*5+H29*4+I29*4+J29*3+K29*3)/29</f>
        <v>14.7072413793103</v>
      </c>
      <c r="M29" s="17" t="n">
        <v>12</v>
      </c>
      <c r="N29" s="19" t="n">
        <v>14.29</v>
      </c>
      <c r="O29" s="19" t="n">
        <v>14.07</v>
      </c>
      <c r="P29" s="19" t="n">
        <v>15.57</v>
      </c>
      <c r="Q29" s="19" t="n">
        <v>16.31</v>
      </c>
      <c r="R29" s="19" t="n">
        <v>12.86</v>
      </c>
      <c r="S29" s="19" t="n">
        <v>14.58</v>
      </c>
      <c r="T29" s="19" t="n">
        <v>13.21</v>
      </c>
      <c r="U29" s="19" t="n">
        <v>18.59</v>
      </c>
      <c r="V29" s="20" t="n">
        <f aca="false">(N29*5+O29*5+P29*5+Q29*4+R29*4+S29*3+T29*3+U29*5)/34</f>
        <v>15.0779411764706</v>
      </c>
      <c r="W29" s="21" t="n">
        <f aca="false">(L29+V29)/2</f>
        <v>14.8925912778905</v>
      </c>
      <c r="X29" s="14" t="n">
        <f aca="false">COUNTIF(E29:K29,"&lt;12")+COUNTIF(N29:U29,"&lt;12")</f>
        <v>3</v>
      </c>
      <c r="Y29" s="22" t="s">
        <v>34</v>
      </c>
    </row>
    <row r="30" customFormat="false" ht="18" hidden="false" customHeight="true" outlineLevel="0" collapsed="false">
      <c r="A30" s="23" t="s">
        <v>107</v>
      </c>
      <c r="B30" s="23" t="s">
        <v>108</v>
      </c>
      <c r="C30" s="23" t="s">
        <v>109</v>
      </c>
      <c r="D30" s="17" t="n">
        <v>13</v>
      </c>
      <c r="E30" s="18" t="n">
        <v>9.2</v>
      </c>
      <c r="F30" s="18" t="n">
        <v>8.65</v>
      </c>
      <c r="G30" s="19" t="n">
        <v>13.74</v>
      </c>
      <c r="H30" s="19" t="n">
        <v>19.14</v>
      </c>
      <c r="I30" s="19" t="n">
        <v>13.64</v>
      </c>
      <c r="J30" s="19" t="n">
        <v>18.42</v>
      </c>
      <c r="K30" s="19" t="n">
        <v>17.38</v>
      </c>
      <c r="L30" s="20" t="n">
        <f aca="false">(E30*5+F30*5+G30*5+H30*4+I30*4+J30*3+K30*3)/29</f>
        <v>13.6713793103448</v>
      </c>
      <c r="M30" s="17" t="n">
        <v>15</v>
      </c>
      <c r="N30" s="19" t="n">
        <v>19.09</v>
      </c>
      <c r="O30" s="18" t="n">
        <v>10.69</v>
      </c>
      <c r="P30" s="19" t="n">
        <v>17.88</v>
      </c>
      <c r="Q30" s="19" t="n">
        <v>17.05</v>
      </c>
      <c r="R30" s="19" t="n">
        <v>12.85</v>
      </c>
      <c r="S30" s="19" t="n">
        <v>13.2</v>
      </c>
      <c r="T30" s="19" t="n">
        <v>16.43</v>
      </c>
      <c r="U30" s="19" t="n">
        <v>12.14</v>
      </c>
      <c r="V30" s="20" t="n">
        <f aca="false">(N30*5+O30*5+P30*5+Q30*4+R30*4+S30*3+T30*3+U30*5)/34</f>
        <v>14.9261764705882</v>
      </c>
      <c r="W30" s="21" t="n">
        <f aca="false">(L30+V30)/2</f>
        <v>14.2987778904665</v>
      </c>
      <c r="X30" s="14" t="n">
        <f aca="false">COUNTIF(E30:K30,"&lt;12")+COUNTIF(N30:U30,"&lt;12")</f>
        <v>3</v>
      </c>
      <c r="Y30" s="22" t="s">
        <v>34</v>
      </c>
    </row>
    <row r="31" customFormat="false" ht="18" hidden="false" customHeight="true" outlineLevel="0" collapsed="false">
      <c r="A31" s="16" t="s">
        <v>110</v>
      </c>
      <c r="B31" s="16" t="s">
        <v>111</v>
      </c>
      <c r="C31" s="16" t="s">
        <v>112</v>
      </c>
      <c r="D31" s="17" t="n">
        <v>2</v>
      </c>
      <c r="E31" s="19" t="n">
        <v>14.94</v>
      </c>
      <c r="F31" s="19" t="n">
        <v>12.8</v>
      </c>
      <c r="G31" s="19" t="n">
        <v>15.76</v>
      </c>
      <c r="H31" s="19" t="n">
        <v>15.12</v>
      </c>
      <c r="I31" s="18" t="n">
        <v>8.46</v>
      </c>
      <c r="J31" s="19" t="n">
        <v>12.69</v>
      </c>
      <c r="K31" s="19" t="n">
        <v>12.74</v>
      </c>
      <c r="L31" s="20" t="n">
        <f aca="false">(E31*5+F31*5+G31*5+H31*4+I31*4+J31*3+K31*3)/29</f>
        <v>13.3831034482759</v>
      </c>
      <c r="M31" s="17" t="n">
        <v>3</v>
      </c>
      <c r="N31" s="18" t="n">
        <v>8.21</v>
      </c>
      <c r="O31" s="19" t="n">
        <v>18.09</v>
      </c>
      <c r="P31" s="18" t="n">
        <v>8.7</v>
      </c>
      <c r="Q31" s="19" t="n">
        <v>12.67</v>
      </c>
      <c r="R31" s="19" t="n">
        <v>15.38</v>
      </c>
      <c r="S31" s="19" t="n">
        <v>16.29</v>
      </c>
      <c r="T31" s="19" t="n">
        <v>18.82</v>
      </c>
      <c r="U31" s="19" t="n">
        <v>13.98</v>
      </c>
      <c r="V31" s="20" t="n">
        <f aca="false">(N31*5+O31*5+P31*5+Q31*4+R31*4+S31*3+T31*3+U31*5)/34</f>
        <v>13.6008823529412</v>
      </c>
      <c r="W31" s="21" t="n">
        <f aca="false">(L31+V31)/2</f>
        <v>13.4919929006085</v>
      </c>
      <c r="X31" s="14" t="n">
        <f aca="false">COUNTIF(E31:K31,"&lt;12")+COUNTIF(N31:U31,"&lt;12")</f>
        <v>3</v>
      </c>
      <c r="Y31" s="22" t="s">
        <v>34</v>
      </c>
    </row>
    <row r="32" customFormat="false" ht="18" hidden="false" customHeight="true" outlineLevel="0" collapsed="false">
      <c r="A32" s="23" t="s">
        <v>113</v>
      </c>
      <c r="B32" s="23" t="s">
        <v>114</v>
      </c>
      <c r="C32" s="23" t="s">
        <v>115</v>
      </c>
      <c r="D32" s="17" t="n">
        <v>2</v>
      </c>
      <c r="E32" s="19" t="n">
        <v>15.28</v>
      </c>
      <c r="F32" s="19" t="n">
        <v>15.02</v>
      </c>
      <c r="G32" s="19" t="n">
        <v>14.46</v>
      </c>
      <c r="H32" s="19" t="n">
        <v>13.45</v>
      </c>
      <c r="I32" s="19" t="n">
        <v>16.83</v>
      </c>
      <c r="J32" s="18" t="n">
        <v>10.04</v>
      </c>
      <c r="K32" s="18" t="n">
        <v>8.57</v>
      </c>
      <c r="L32" s="20" t="n">
        <f aca="false">(E32*5+F32*5+G32*5+H32*4+I32*4+J32*3+K32*3)/29</f>
        <v>13.8189655172414</v>
      </c>
      <c r="M32" s="17" t="n">
        <v>2</v>
      </c>
      <c r="N32" s="19" t="n">
        <v>17.37</v>
      </c>
      <c r="O32" s="19" t="n">
        <v>13.93</v>
      </c>
      <c r="P32" s="19" t="n">
        <v>14.33</v>
      </c>
      <c r="Q32" s="19" t="n">
        <v>17.16</v>
      </c>
      <c r="R32" s="18" t="n">
        <v>9.91</v>
      </c>
      <c r="S32" s="19" t="n">
        <v>16.68</v>
      </c>
      <c r="T32" s="19" t="n">
        <v>16.86</v>
      </c>
      <c r="U32" s="19" t="n">
        <v>15.66</v>
      </c>
      <c r="V32" s="20" t="n">
        <f aca="false">(N32*5+O32*5+P32*5+Q32*4+R32*4+S32*3+T32*3+U32*5)/34</f>
        <v>15.1573529411765</v>
      </c>
      <c r="W32" s="21" t="n">
        <f aca="false">(L32+V32)/2</f>
        <v>14.4881592292089</v>
      </c>
      <c r="X32" s="14" t="n">
        <f aca="false">COUNTIF(E32:K32,"&lt;12")+COUNTIF(N32:U32,"&lt;12")</f>
        <v>3</v>
      </c>
      <c r="Y32" s="22" t="s">
        <v>34</v>
      </c>
    </row>
    <row r="33" customFormat="false" ht="18" hidden="false" customHeight="true" outlineLevel="0" collapsed="false">
      <c r="A33" s="16" t="s">
        <v>116</v>
      </c>
      <c r="B33" s="16" t="s">
        <v>117</v>
      </c>
      <c r="C33" s="16" t="s">
        <v>118</v>
      </c>
      <c r="D33" s="17" t="n">
        <v>3</v>
      </c>
      <c r="E33" s="19" t="n">
        <v>12.65</v>
      </c>
      <c r="F33" s="18" t="n">
        <v>9.77</v>
      </c>
      <c r="G33" s="19" t="n">
        <v>14.69</v>
      </c>
      <c r="H33" s="19" t="n">
        <v>16.09</v>
      </c>
      <c r="I33" s="19" t="n">
        <v>18.36</v>
      </c>
      <c r="J33" s="19" t="n">
        <v>15.24</v>
      </c>
      <c r="K33" s="18" t="n">
        <v>10.77</v>
      </c>
      <c r="L33" s="20" t="n">
        <f aca="false">(E33*5+F33*5+G33*5+H33*4+I33*4+J33*3+K33*3)/29</f>
        <v>13.8406896551724</v>
      </c>
      <c r="M33" s="17" t="n">
        <v>0</v>
      </c>
      <c r="N33" s="19" t="n">
        <v>12.73</v>
      </c>
      <c r="O33" s="19" t="n">
        <v>12.99</v>
      </c>
      <c r="P33" s="19" t="n">
        <v>12.02</v>
      </c>
      <c r="Q33" s="19" t="n">
        <v>15.58</v>
      </c>
      <c r="R33" s="19" t="n">
        <v>13.13</v>
      </c>
      <c r="S33" s="19" t="n">
        <v>18.37</v>
      </c>
      <c r="T33" s="19" t="n">
        <v>13.5</v>
      </c>
      <c r="U33" s="18" t="n">
        <v>10.77</v>
      </c>
      <c r="V33" s="20" t="n">
        <f aca="false">(N33*5+O33*5+P33*5+Q33*4+R33*4+S33*3+T33*3+U33*5)/34</f>
        <v>13.3235294117647</v>
      </c>
      <c r="W33" s="21" t="n">
        <f aca="false">(L33+V33)/2</f>
        <v>13.5821095334686</v>
      </c>
      <c r="X33" s="14" t="n">
        <f aca="false">COUNTIF(E33:K33,"&lt;12")+COUNTIF(N33:U33,"&lt;12")</f>
        <v>3</v>
      </c>
      <c r="Y33" s="22" t="s">
        <v>34</v>
      </c>
    </row>
    <row r="34" customFormat="false" ht="18" hidden="false" customHeight="true" outlineLevel="0" collapsed="false">
      <c r="A34" s="23" t="s">
        <v>119</v>
      </c>
      <c r="B34" s="23" t="s">
        <v>120</v>
      </c>
      <c r="C34" s="23" t="s">
        <v>121</v>
      </c>
      <c r="D34" s="17" t="n">
        <v>10</v>
      </c>
      <c r="E34" s="19" t="n">
        <v>17.34</v>
      </c>
      <c r="F34" s="18" t="n">
        <v>11.98</v>
      </c>
      <c r="G34" s="19" t="n">
        <v>16.12</v>
      </c>
      <c r="H34" s="18" t="n">
        <v>10.91</v>
      </c>
      <c r="I34" s="18" t="n">
        <v>10.91</v>
      </c>
      <c r="J34" s="19" t="n">
        <v>14.49</v>
      </c>
      <c r="K34" s="19" t="n">
        <v>18.92</v>
      </c>
      <c r="L34" s="20" t="n">
        <f aca="false">(E34*5+F34*5+G34*5+H34*4+I34*4+J34*3+K34*3)/29</f>
        <v>14.3003448275862</v>
      </c>
      <c r="M34" s="17" t="n">
        <v>15</v>
      </c>
      <c r="N34" s="19" t="n">
        <v>14.25</v>
      </c>
      <c r="O34" s="19" t="n">
        <v>17.4</v>
      </c>
      <c r="P34" s="19" t="n">
        <v>13.06</v>
      </c>
      <c r="Q34" s="19" t="n">
        <v>12.63</v>
      </c>
      <c r="R34" s="19" t="n">
        <v>16.23</v>
      </c>
      <c r="S34" s="19" t="n">
        <v>17.15</v>
      </c>
      <c r="T34" s="19" t="n">
        <v>13.95</v>
      </c>
      <c r="U34" s="19" t="n">
        <v>15.57</v>
      </c>
      <c r="V34" s="20" t="n">
        <f aca="false">(N34*5+O34*5+P34*5+Q34*4+R34*4+S34*3+T34*3+U34*5)/34</f>
        <v>15.0041176470588</v>
      </c>
      <c r="W34" s="21" t="n">
        <f aca="false">(L34+V34)/2</f>
        <v>14.6522312373225</v>
      </c>
      <c r="X34" s="14" t="n">
        <f aca="false">COUNTIF(E34:K34,"&lt;12")+COUNTIF(N34:U34,"&lt;12")</f>
        <v>3</v>
      </c>
      <c r="Y34" s="22" t="s">
        <v>34</v>
      </c>
    </row>
    <row r="35" customFormat="false" ht="18" hidden="false" customHeight="true" outlineLevel="0" collapsed="false">
      <c r="A35" s="16" t="s">
        <v>122</v>
      </c>
      <c r="B35" s="16" t="s">
        <v>123</v>
      </c>
      <c r="C35" s="16" t="s">
        <v>124</v>
      </c>
      <c r="D35" s="17" t="n">
        <v>18</v>
      </c>
      <c r="E35" s="18" t="n">
        <v>9.83</v>
      </c>
      <c r="F35" s="19" t="n">
        <v>12.36</v>
      </c>
      <c r="G35" s="19" t="n">
        <v>14.01</v>
      </c>
      <c r="H35" s="19" t="n">
        <v>16.59</v>
      </c>
      <c r="I35" s="19" t="n">
        <v>14.77</v>
      </c>
      <c r="J35" s="19" t="n">
        <v>15.44</v>
      </c>
      <c r="K35" s="19" t="n">
        <v>13.96</v>
      </c>
      <c r="L35" s="20" t="n">
        <f aca="false">(E35*5+F35*5+G35*5+H35*4+I35*4+J35*3+K35*3)/29</f>
        <v>13.608275862069</v>
      </c>
      <c r="M35" s="17" t="n">
        <v>8</v>
      </c>
      <c r="N35" s="19" t="n">
        <v>13.32</v>
      </c>
      <c r="O35" s="18" t="n">
        <v>10.42</v>
      </c>
      <c r="P35" s="19" t="n">
        <v>16.53</v>
      </c>
      <c r="Q35" s="19" t="n">
        <v>18.52</v>
      </c>
      <c r="R35" s="18" t="n">
        <v>11.39</v>
      </c>
      <c r="S35" s="19" t="n">
        <v>12.21</v>
      </c>
      <c r="T35" s="19" t="n">
        <v>12.32</v>
      </c>
      <c r="U35" s="19" t="n">
        <v>16.24</v>
      </c>
      <c r="V35" s="20" t="n">
        <f aca="false">(N35*5+O35*5+P35*5+Q35*4+R35*4+S35*3+T35*3+U35*5)/34</f>
        <v>13.9935294117647</v>
      </c>
      <c r="W35" s="21" t="n">
        <f aca="false">(L35+V35)/2</f>
        <v>13.8009026369168</v>
      </c>
      <c r="X35" s="14" t="n">
        <f aca="false">COUNTIF(E35:K35,"&lt;12")+COUNTIF(N35:U35,"&lt;12")</f>
        <v>3</v>
      </c>
      <c r="Y35" s="22" t="s">
        <v>34</v>
      </c>
    </row>
    <row r="36" customFormat="false" ht="18" hidden="false" customHeight="true" outlineLevel="0" collapsed="false">
      <c r="A36" s="23" t="s">
        <v>125</v>
      </c>
      <c r="B36" s="23" t="s">
        <v>126</v>
      </c>
      <c r="C36" s="23" t="s">
        <v>127</v>
      </c>
      <c r="D36" s="17" t="n">
        <v>14</v>
      </c>
      <c r="E36" s="19" t="n">
        <v>12.18</v>
      </c>
      <c r="F36" s="19" t="n">
        <v>13.02</v>
      </c>
      <c r="G36" s="19" t="n">
        <v>13.4</v>
      </c>
      <c r="H36" s="18" t="n">
        <v>11.31</v>
      </c>
      <c r="I36" s="19" t="n">
        <v>14</v>
      </c>
      <c r="J36" s="19" t="n">
        <v>15.48</v>
      </c>
      <c r="K36" s="19" t="n">
        <v>14.41</v>
      </c>
      <c r="L36" s="20" t="n">
        <f aca="false">(E36*5+F36*5+G36*5+H36*4+I36*4+J36*3+K36*3)/29</f>
        <v>13.238275862069</v>
      </c>
      <c r="M36" s="17" t="n">
        <v>9</v>
      </c>
      <c r="N36" s="19" t="n">
        <v>13.61</v>
      </c>
      <c r="O36" s="18" t="n">
        <v>11.94</v>
      </c>
      <c r="P36" s="19" t="n">
        <v>14.49</v>
      </c>
      <c r="Q36" s="19" t="n">
        <v>12.36</v>
      </c>
      <c r="R36" s="18" t="n">
        <v>10.77</v>
      </c>
      <c r="S36" s="19" t="n">
        <v>12.25</v>
      </c>
      <c r="T36" s="19" t="n">
        <v>13.11</v>
      </c>
      <c r="U36" s="19" t="n">
        <v>12.43</v>
      </c>
      <c r="V36" s="20" t="n">
        <f aca="false">(N36*5+O36*5+P36*5+Q36*4+R36*4+S36*3+T36*3+U36*5)/34</f>
        <v>12.675</v>
      </c>
      <c r="W36" s="21" t="n">
        <f aca="false">(L36+V36)/2</f>
        <v>12.9566379310345</v>
      </c>
      <c r="X36" s="14" t="n">
        <f aca="false">COUNTIF(E36:K36,"&lt;12")+COUNTIF(N36:U36,"&lt;12")</f>
        <v>3</v>
      </c>
      <c r="Y36" s="22" t="s">
        <v>34</v>
      </c>
    </row>
    <row r="37" customFormat="false" ht="18" hidden="false" customHeight="true" outlineLevel="0" collapsed="false">
      <c r="A37" s="16" t="s">
        <v>128</v>
      </c>
      <c r="B37" s="16" t="s">
        <v>129</v>
      </c>
      <c r="C37" s="16" t="s">
        <v>130</v>
      </c>
      <c r="D37" s="17" t="n">
        <v>12</v>
      </c>
      <c r="E37" s="19" t="n">
        <v>14.49</v>
      </c>
      <c r="F37" s="18" t="n">
        <v>11.06</v>
      </c>
      <c r="G37" s="19" t="n">
        <v>17.02</v>
      </c>
      <c r="H37" s="19" t="n">
        <v>14.73</v>
      </c>
      <c r="I37" s="19" t="n">
        <v>17.4</v>
      </c>
      <c r="J37" s="19" t="n">
        <v>18.5</v>
      </c>
      <c r="K37" s="19" t="n">
        <v>14.43</v>
      </c>
      <c r="L37" s="20" t="n">
        <f aca="false">(E37*5+F37*5+G37*5+H37*4+I37*4+J37*3+K37*3)/29</f>
        <v>15.1779310344828</v>
      </c>
      <c r="M37" s="17" t="n">
        <v>7</v>
      </c>
      <c r="N37" s="19" t="n">
        <v>12.45</v>
      </c>
      <c r="O37" s="19" t="n">
        <v>12.01</v>
      </c>
      <c r="P37" s="19" t="n">
        <v>13.37</v>
      </c>
      <c r="Q37" s="19" t="n">
        <v>17.88</v>
      </c>
      <c r="R37" s="19" t="n">
        <v>16.32</v>
      </c>
      <c r="S37" s="18" t="n">
        <v>9.77</v>
      </c>
      <c r="T37" s="19" t="n">
        <v>16.74</v>
      </c>
      <c r="U37" s="18" t="n">
        <v>10.73</v>
      </c>
      <c r="V37" s="20" t="n">
        <f aca="false">(N37*5+O37*5+P37*5+Q37*4+R37*4+S37*3+T37*3+U37*5)/34</f>
        <v>13.5038235294118</v>
      </c>
      <c r="W37" s="21" t="n">
        <f aca="false">(L37+V37)/2</f>
        <v>14.3408772819473</v>
      </c>
      <c r="X37" s="14" t="n">
        <f aca="false">COUNTIF(E37:K37,"&lt;12")+COUNTIF(N37:U37,"&lt;12")</f>
        <v>3</v>
      </c>
      <c r="Y37" s="22" t="s">
        <v>34</v>
      </c>
    </row>
    <row r="38" customFormat="false" ht="18" hidden="false" customHeight="true" outlineLevel="0" collapsed="false">
      <c r="A38" s="23" t="s">
        <v>131</v>
      </c>
      <c r="B38" s="23" t="s">
        <v>132</v>
      </c>
      <c r="C38" s="23" t="s">
        <v>133</v>
      </c>
      <c r="D38" s="17" t="n">
        <v>14</v>
      </c>
      <c r="E38" s="19" t="n">
        <v>15.51</v>
      </c>
      <c r="F38" s="19" t="n">
        <v>18.03</v>
      </c>
      <c r="G38" s="19" t="n">
        <v>15.04</v>
      </c>
      <c r="H38" s="19" t="n">
        <v>19.33</v>
      </c>
      <c r="I38" s="18" t="n">
        <v>11.04</v>
      </c>
      <c r="J38" s="19" t="n">
        <v>19.14</v>
      </c>
      <c r="K38" s="18" t="n">
        <v>10.95</v>
      </c>
      <c r="L38" s="20" t="n">
        <f aca="false">(E38*5+F38*5+G38*5+H38*4+I38*4+J38*3+K38*3)/29</f>
        <v>15.6775862068966</v>
      </c>
      <c r="M38" s="17" t="n">
        <v>15</v>
      </c>
      <c r="N38" s="19" t="n">
        <v>12.53</v>
      </c>
      <c r="O38" s="19" t="n">
        <v>13.74</v>
      </c>
      <c r="P38" s="19" t="n">
        <v>12.13</v>
      </c>
      <c r="Q38" s="19" t="n">
        <v>14.17</v>
      </c>
      <c r="R38" s="19" t="n">
        <v>13.34</v>
      </c>
      <c r="S38" s="18" t="n">
        <v>10.88</v>
      </c>
      <c r="T38" s="19" t="n">
        <v>12.65</v>
      </c>
      <c r="U38" s="19" t="n">
        <v>13.83</v>
      </c>
      <c r="V38" s="20" t="n">
        <f aca="false">(N38*5+O38*5+P38*5+Q38*4+R38*4+S38*3+T38*3+U38*5)/34</f>
        <v>12.9935294117647</v>
      </c>
      <c r="W38" s="21" t="n">
        <f aca="false">(L38+V38)/2</f>
        <v>14.3355578093306</v>
      </c>
      <c r="X38" s="14" t="n">
        <f aca="false">COUNTIF(E38:K38,"&lt;12")+COUNTIF(N38:U38,"&lt;12")</f>
        <v>3</v>
      </c>
      <c r="Y38" s="22" t="s">
        <v>34</v>
      </c>
    </row>
    <row r="39" customFormat="false" ht="18" hidden="false" customHeight="true" outlineLevel="0" collapsed="false">
      <c r="A39" s="16" t="s">
        <v>134</v>
      </c>
      <c r="B39" s="16" t="s">
        <v>135</v>
      </c>
      <c r="C39" s="16" t="s">
        <v>136</v>
      </c>
      <c r="D39" s="17" t="n">
        <v>16</v>
      </c>
      <c r="E39" s="19" t="n">
        <v>15.08</v>
      </c>
      <c r="F39" s="19" t="n">
        <v>13.39</v>
      </c>
      <c r="G39" s="19" t="n">
        <v>15.85</v>
      </c>
      <c r="H39" s="19" t="n">
        <v>19.39</v>
      </c>
      <c r="I39" s="19" t="n">
        <v>13.55</v>
      </c>
      <c r="J39" s="19" t="n">
        <v>14.62</v>
      </c>
      <c r="K39" s="18" t="n">
        <v>11.55</v>
      </c>
      <c r="L39" s="20" t="n">
        <f aca="false">(E39*5+F39*5+G39*5+H39*4+I39*4+J39*3+K39*3)/29</f>
        <v>14.8920689655172</v>
      </c>
      <c r="M39" s="17" t="n">
        <v>12</v>
      </c>
      <c r="N39" s="19" t="n">
        <v>12.11</v>
      </c>
      <c r="O39" s="18" t="n">
        <v>11.23</v>
      </c>
      <c r="P39" s="19" t="n">
        <v>14.47</v>
      </c>
      <c r="Q39" s="19" t="n">
        <v>16.87</v>
      </c>
      <c r="R39" s="19" t="n">
        <v>15.09</v>
      </c>
      <c r="S39" s="19" t="n">
        <v>12.74</v>
      </c>
      <c r="T39" s="18" t="n">
        <v>8.18</v>
      </c>
      <c r="U39" s="19" t="n">
        <v>16.44</v>
      </c>
      <c r="V39" s="20" t="n">
        <f aca="false">(N39*5+O39*5+P39*5+Q39*4+R39*4+S39*3+T39*3+U39*5)/34</f>
        <v>13.5838235294118</v>
      </c>
      <c r="W39" s="21" t="n">
        <f aca="false">(L39+V39)/2</f>
        <v>14.2379462474645</v>
      </c>
      <c r="X39" s="14" t="n">
        <f aca="false">COUNTIF(E39:K39,"&lt;12")+COUNTIF(N39:U39,"&lt;12")</f>
        <v>3</v>
      </c>
      <c r="Y39" s="22" t="s">
        <v>34</v>
      </c>
    </row>
  </sheetData>
  <mergeCells count="5">
    <mergeCell ref="A1:Z1"/>
    <mergeCell ref="A2:C2"/>
    <mergeCell ref="D2:M2"/>
    <mergeCell ref="N2:W2"/>
    <mergeCell ref="A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4"/>
    <col collapsed="false" customWidth="true" hidden="false" outlineLevel="0" max="3" min="3" style="1" width="13"/>
    <col collapsed="false" customWidth="true" hidden="false" outlineLevel="0" max="4" min="4" style="1" width="10"/>
    <col collapsed="false" customWidth="true" hidden="false" outlineLevel="0" max="12" min="5" style="1" width="18"/>
    <col collapsed="false" customWidth="true" hidden="false" outlineLevel="0" max="13" min="13" style="1" width="12"/>
    <col collapsed="false" customWidth="true" hidden="false" outlineLevel="0" max="14" min="14" style="1" width="10"/>
    <col collapsed="false" customWidth="true" hidden="false" outlineLevel="0" max="22" min="15" style="1" width="18"/>
    <col collapsed="false" customWidth="true" hidden="false" outlineLevel="0" max="23" min="23" style="1" width="12"/>
    <col collapsed="false" customWidth="true" hidden="false" outlineLevel="0" max="24" min="24" style="1" width="14"/>
    <col collapsed="false" customWidth="true" hidden="false" outlineLevel="0" max="25" min="25" style="1" width="13"/>
    <col collapsed="false" customWidth="true" hidden="false" outlineLevel="0" max="26" min="26" style="1" width="12"/>
  </cols>
  <sheetData>
    <row r="1" customFormat="false" ht="30" hidden="false" customHeight="true" outlineLevel="0" collapsed="false">
      <c r="A1" s="2" t="s">
        <v>137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21.75" hidden="false" customHeight="true" outlineLevel="0" collapsed="false">
      <c r="A2" s="3" t="s">
        <v>1</v>
      </c>
      <c r="B2" s="3"/>
      <c r="C2" s="3"/>
      <c r="D2" s="3" t="s">
        <v>138</v>
      </c>
      <c r="E2" s="3"/>
      <c r="F2" s="3"/>
      <c r="G2" s="3"/>
      <c r="H2" s="3"/>
      <c r="I2" s="3"/>
      <c r="J2" s="3"/>
      <c r="K2" s="3"/>
      <c r="L2" s="3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5"/>
      <c r="Y2" s="5"/>
    </row>
    <row r="3" customFormat="false" ht="15.75" hidden="false" customHeight="true" outlineLevel="0" collapsed="false">
      <c r="A3" s="6"/>
      <c r="B3" s="6"/>
      <c r="C3" s="6"/>
      <c r="D3" s="7"/>
      <c r="E3" s="7" t="s">
        <v>3</v>
      </c>
      <c r="F3" s="7" t="s">
        <v>3</v>
      </c>
      <c r="G3" s="7" t="s">
        <v>3</v>
      </c>
      <c r="H3" s="7" t="s">
        <v>4</v>
      </c>
      <c r="I3" s="7" t="s">
        <v>4</v>
      </c>
      <c r="J3" s="7" t="s">
        <v>5</v>
      </c>
      <c r="K3" s="7" t="s">
        <v>5</v>
      </c>
      <c r="L3" s="7"/>
      <c r="M3" s="7"/>
      <c r="N3" s="7" t="s">
        <v>3</v>
      </c>
      <c r="O3" s="7" t="s">
        <v>3</v>
      </c>
      <c r="P3" s="7" t="s">
        <v>3</v>
      </c>
      <c r="Q3" s="7" t="s">
        <v>4</v>
      </c>
      <c r="R3" s="7" t="s">
        <v>4</v>
      </c>
      <c r="S3" s="7" t="s">
        <v>5</v>
      </c>
      <c r="T3" s="7" t="s">
        <v>5</v>
      </c>
      <c r="U3" s="7" t="s">
        <v>3</v>
      </c>
      <c r="V3" s="7"/>
      <c r="W3" s="7"/>
      <c r="X3" s="7"/>
      <c r="Y3" s="7"/>
    </row>
    <row r="4" customFormat="false" ht="49.5" hidden="false" customHeight="true" outlineLevel="0" collapsed="false">
      <c r="A4" s="8" t="s">
        <v>6</v>
      </c>
      <c r="B4" s="8" t="s">
        <v>7</v>
      </c>
      <c r="C4" s="8" t="s">
        <v>8</v>
      </c>
      <c r="D4" s="5" t="s">
        <v>139</v>
      </c>
      <c r="E4" s="9" t="s">
        <v>140</v>
      </c>
      <c r="F4" s="9" t="s">
        <v>141</v>
      </c>
      <c r="G4" s="9" t="s">
        <v>142</v>
      </c>
      <c r="H4" s="9" t="s">
        <v>143</v>
      </c>
      <c r="I4" s="9" t="s">
        <v>144</v>
      </c>
      <c r="J4" s="9" t="s">
        <v>145</v>
      </c>
      <c r="K4" s="9" t="s">
        <v>146</v>
      </c>
      <c r="L4" s="10" t="s">
        <v>147</v>
      </c>
      <c r="M4" s="5" t="s">
        <v>148</v>
      </c>
      <c r="N4" s="11" t="s">
        <v>149</v>
      </c>
      <c r="O4" s="11" t="s">
        <v>150</v>
      </c>
      <c r="P4" s="11" t="s">
        <v>151</v>
      </c>
      <c r="Q4" s="11" t="s">
        <v>152</v>
      </c>
      <c r="R4" s="11" t="s">
        <v>153</v>
      </c>
      <c r="S4" s="11" t="s">
        <v>154</v>
      </c>
      <c r="T4" s="11" t="s">
        <v>155</v>
      </c>
      <c r="U4" s="12" t="s">
        <v>156</v>
      </c>
      <c r="V4" s="10" t="s">
        <v>157</v>
      </c>
      <c r="W4" s="13" t="s">
        <v>158</v>
      </c>
      <c r="X4" s="14" t="s">
        <v>29</v>
      </c>
      <c r="Y4" s="15" t="s">
        <v>30</v>
      </c>
    </row>
    <row r="5" customFormat="false" ht="18" hidden="false" customHeight="true" outlineLevel="0" collapsed="false">
      <c r="A5" s="16" t="s">
        <v>31</v>
      </c>
      <c r="B5" s="16" t="s">
        <v>32</v>
      </c>
      <c r="C5" s="16" t="s">
        <v>33</v>
      </c>
      <c r="D5" s="17" t="n">
        <v>0</v>
      </c>
      <c r="E5" s="24" t="n">
        <v>16.49</v>
      </c>
      <c r="F5" s="24" t="n">
        <v>13.05</v>
      </c>
      <c r="G5" s="24" t="n">
        <v>12.28</v>
      </c>
      <c r="H5" s="25" t="n">
        <v>10.47</v>
      </c>
      <c r="I5" s="25" t="n">
        <v>9.69</v>
      </c>
      <c r="J5" s="24" t="n">
        <v>16.54</v>
      </c>
      <c r="K5" s="24" t="n">
        <v>14.42</v>
      </c>
      <c r="L5" s="20" t="n">
        <f aca="false">(E5*5+F5*5+G5*5+H5*4+I5*4+J5*3+K5*3)/29</f>
        <v>13.1937931034483</v>
      </c>
      <c r="M5" s="17" t="n">
        <v>11</v>
      </c>
      <c r="N5" s="24" t="n">
        <v>17.59</v>
      </c>
      <c r="O5" s="24" t="n">
        <v>14.55</v>
      </c>
      <c r="P5" s="24" t="n">
        <v>17.09</v>
      </c>
      <c r="Q5" s="24" t="n">
        <v>16.12</v>
      </c>
      <c r="R5" s="24" t="n">
        <v>13.7</v>
      </c>
      <c r="S5" s="24" t="n">
        <v>19.16</v>
      </c>
      <c r="T5" s="25" t="n">
        <v>11.73</v>
      </c>
      <c r="U5" s="24" t="n">
        <v>15.24</v>
      </c>
      <c r="V5" s="20" t="n">
        <f aca="false">(N5*5+O5*5+P5*5+Q5*4+R5*4+S5*3+T5*3+U5*5)/34</f>
        <v>15.7147058823529</v>
      </c>
      <c r="W5" s="21" t="n">
        <f aca="false">(L5+V5)/2</f>
        <v>14.4542494929006</v>
      </c>
      <c r="X5" s="14" t="n">
        <f aca="false">COUNTIF(E5:K5,"&lt;12")+COUNTIF(N5:U5,"&lt;12")</f>
        <v>3</v>
      </c>
      <c r="Y5" s="10" t="str">
        <f aca="false">IF(OR(W5&lt;12,X5&gt;3),"Oui","Non")</f>
        <v>Non</v>
      </c>
    </row>
    <row r="6" customFormat="false" ht="18" hidden="false" customHeight="true" outlineLevel="0" collapsed="false">
      <c r="A6" s="23" t="s">
        <v>35</v>
      </c>
      <c r="B6" s="23" t="s">
        <v>36</v>
      </c>
      <c r="C6" s="23" t="s">
        <v>37</v>
      </c>
      <c r="D6" s="17" t="n">
        <v>17</v>
      </c>
      <c r="E6" s="24" t="n">
        <v>16.11</v>
      </c>
      <c r="F6" s="24" t="n">
        <v>14.49</v>
      </c>
      <c r="G6" s="25" t="n">
        <v>11.74</v>
      </c>
      <c r="H6" s="24" t="n">
        <v>19.37</v>
      </c>
      <c r="I6" s="24" t="n">
        <v>15</v>
      </c>
      <c r="J6" s="24" t="n">
        <v>13.96</v>
      </c>
      <c r="K6" s="24" t="n">
        <v>15.56</v>
      </c>
      <c r="L6" s="20" t="n">
        <f aca="false">(E6*5+F6*5+G6*5+H6*4+I6*4+J6*3+K6*3)/29</f>
        <v>15.0944827586207</v>
      </c>
      <c r="M6" s="17" t="n">
        <v>1</v>
      </c>
      <c r="N6" s="24" t="n">
        <v>13.48</v>
      </c>
      <c r="O6" s="24" t="n">
        <v>12.8</v>
      </c>
      <c r="P6" s="25" t="n">
        <v>10.94</v>
      </c>
      <c r="Q6" s="25" t="n">
        <v>10.35</v>
      </c>
      <c r="R6" s="24" t="n">
        <v>12.43</v>
      </c>
      <c r="S6" s="24" t="n">
        <v>18.79</v>
      </c>
      <c r="T6" s="24" t="n">
        <v>17.95</v>
      </c>
      <c r="U6" s="24" t="n">
        <v>12.99</v>
      </c>
      <c r="V6" s="20" t="n">
        <f aca="false">(N6*5+O6*5+P6*5+Q6*4+R6*4+S6*3+T6*3+U6*5)/34</f>
        <v>13.3055882352941</v>
      </c>
      <c r="W6" s="21" t="n">
        <f aca="false">(L6+V6)/2</f>
        <v>14.2000354969574</v>
      </c>
      <c r="X6" s="14" t="n">
        <f aca="false">COUNTIF(E6:K6,"&lt;12")+COUNTIF(N6:U6,"&lt;12")</f>
        <v>3</v>
      </c>
      <c r="Y6" s="10" t="str">
        <f aca="false">IF(OR(W6&lt;12,X6&gt;3),"Oui","Non")</f>
        <v>Non</v>
      </c>
    </row>
    <row r="7" customFormat="false" ht="18" hidden="false" customHeight="true" outlineLevel="0" collapsed="false">
      <c r="A7" s="16" t="s">
        <v>38</v>
      </c>
      <c r="B7" s="16" t="s">
        <v>39</v>
      </c>
      <c r="C7" s="16" t="s">
        <v>40</v>
      </c>
      <c r="D7" s="17" t="n">
        <v>12</v>
      </c>
      <c r="E7" s="24" t="n">
        <v>14.45</v>
      </c>
      <c r="F7" s="24" t="n">
        <v>12.85</v>
      </c>
      <c r="G7" s="25" t="n">
        <v>10.14</v>
      </c>
      <c r="H7" s="24" t="n">
        <v>13.92</v>
      </c>
      <c r="I7" s="24" t="n">
        <v>18.78</v>
      </c>
      <c r="J7" s="24" t="n">
        <v>15.5</v>
      </c>
      <c r="K7" s="24" t="n">
        <v>13.87</v>
      </c>
      <c r="L7" s="20" t="n">
        <f aca="false">(E7*5+F7*5+G7*5+H7*4+I7*4+J7*3+K7*3)/29</f>
        <v>14.0037931034483</v>
      </c>
      <c r="M7" s="17" t="n">
        <v>8</v>
      </c>
      <c r="N7" s="24" t="n">
        <v>16.61</v>
      </c>
      <c r="O7" s="25" t="n">
        <v>11.25</v>
      </c>
      <c r="P7" s="25" t="n">
        <v>10.67</v>
      </c>
      <c r="Q7" s="24" t="n">
        <v>12.52</v>
      </c>
      <c r="R7" s="24" t="n">
        <v>13.72</v>
      </c>
      <c r="S7" s="24" t="n">
        <v>16.03</v>
      </c>
      <c r="T7" s="24" t="n">
        <v>16</v>
      </c>
      <c r="U7" s="24" t="n">
        <v>19.23</v>
      </c>
      <c r="V7" s="20" t="n">
        <f aca="false">(N7*5+O7*5+P7*5+Q7*4+R7*4+S7*3+T7*3+U7*5)/34</f>
        <v>14.4073529411765</v>
      </c>
      <c r="W7" s="21" t="n">
        <f aca="false">(L7+V7)/2</f>
        <v>14.2055730223124</v>
      </c>
      <c r="X7" s="14" t="n">
        <f aca="false">COUNTIF(E7:K7,"&lt;12")+COUNTIF(N7:U7,"&lt;12")</f>
        <v>3</v>
      </c>
      <c r="Y7" s="10" t="str">
        <f aca="false">IF(OR(W7&lt;12,X7&gt;3),"Oui","Non")</f>
        <v>Non</v>
      </c>
    </row>
    <row r="8" customFormat="false" ht="18" hidden="false" customHeight="true" outlineLevel="0" collapsed="false">
      <c r="A8" s="23" t="s">
        <v>41</v>
      </c>
      <c r="B8" s="23" t="s">
        <v>42</v>
      </c>
      <c r="C8" s="23" t="s">
        <v>43</v>
      </c>
      <c r="D8" s="17" t="n">
        <v>18</v>
      </c>
      <c r="E8" s="24" t="n">
        <v>18.84</v>
      </c>
      <c r="F8" s="25" t="n">
        <v>8.07</v>
      </c>
      <c r="G8" s="24" t="n">
        <v>13.07</v>
      </c>
      <c r="H8" s="24" t="n">
        <v>13.93</v>
      </c>
      <c r="I8" s="24" t="n">
        <v>16.51</v>
      </c>
      <c r="J8" s="24" t="n">
        <v>16.57</v>
      </c>
      <c r="K8" s="25" t="n">
        <v>8.6</v>
      </c>
      <c r="L8" s="20" t="n">
        <f aca="false">(E8*5+F8*5+G8*5+H8*4+I8*4+J8*3+K8*3)/29</f>
        <v>13.6955172413793</v>
      </c>
      <c r="M8" s="17" t="n">
        <v>17</v>
      </c>
      <c r="N8" s="25" t="n">
        <v>9.06</v>
      </c>
      <c r="O8" s="24" t="n">
        <v>13.6</v>
      </c>
      <c r="P8" s="24" t="n">
        <v>14.58</v>
      </c>
      <c r="Q8" s="24" t="n">
        <v>19.05</v>
      </c>
      <c r="R8" s="24" t="n">
        <v>18.61</v>
      </c>
      <c r="S8" s="24" t="n">
        <v>16.44</v>
      </c>
      <c r="T8" s="24" t="n">
        <v>15.62</v>
      </c>
      <c r="U8" s="24" t="n">
        <v>16.77</v>
      </c>
      <c r="V8" s="20" t="n">
        <f aca="false">(N8*5+O8*5+P8*5+Q8*4+R8*4+S8*3+T8*3+U8*5)/34</f>
        <v>15.2020588235294</v>
      </c>
      <c r="W8" s="21" t="n">
        <f aca="false">(L8+V8)/2</f>
        <v>14.4487880324544</v>
      </c>
      <c r="X8" s="14" t="n">
        <f aca="false">COUNTIF(E8:K8,"&lt;12")+COUNTIF(N8:U8,"&lt;12")</f>
        <v>3</v>
      </c>
      <c r="Y8" s="10" t="str">
        <f aca="false">IF(OR(W8&lt;12,X8&gt;3),"Oui","Non")</f>
        <v>Non</v>
      </c>
    </row>
    <row r="9" customFormat="false" ht="18" hidden="false" customHeight="true" outlineLevel="0" collapsed="false">
      <c r="A9" s="16" t="s">
        <v>44</v>
      </c>
      <c r="B9" s="16" t="s">
        <v>45</v>
      </c>
      <c r="C9" s="16" t="s">
        <v>46</v>
      </c>
      <c r="D9" s="17" t="n">
        <v>17</v>
      </c>
      <c r="E9" s="25" t="n">
        <v>8.65</v>
      </c>
      <c r="F9" s="24" t="n">
        <v>18.69</v>
      </c>
      <c r="G9" s="24" t="n">
        <v>14.14</v>
      </c>
      <c r="H9" s="24" t="n">
        <v>12.91</v>
      </c>
      <c r="I9" s="24" t="n">
        <v>16.81</v>
      </c>
      <c r="J9" s="24" t="n">
        <v>17.09</v>
      </c>
      <c r="K9" s="25" t="n">
        <v>9.38</v>
      </c>
      <c r="L9" s="20" t="n">
        <f aca="false">(E9*5+F9*5+G9*5+H9*4+I9*4+J9*3+K9*3)/29</f>
        <v>13.9893103448276</v>
      </c>
      <c r="M9" s="17" t="n">
        <v>13</v>
      </c>
      <c r="N9" s="25" t="n">
        <v>11.43</v>
      </c>
      <c r="O9" s="24" t="n">
        <v>12.14</v>
      </c>
      <c r="P9" s="24" t="n">
        <v>17.8</v>
      </c>
      <c r="Q9" s="24" t="n">
        <v>13.55</v>
      </c>
      <c r="R9" s="24" t="n">
        <v>15.17</v>
      </c>
      <c r="S9" s="24" t="n">
        <v>15.08</v>
      </c>
      <c r="T9" s="24" t="n">
        <v>14.57</v>
      </c>
      <c r="U9" s="24" t="n">
        <v>16.92</v>
      </c>
      <c r="V9" s="20" t="n">
        <f aca="false">(N9*5+O9*5+P9*5+Q9*4+R9*4+S9*3+T9*3+U9*5)/34</f>
        <v>14.5670588235294</v>
      </c>
      <c r="W9" s="21" t="n">
        <f aca="false">(L9+V9)/2</f>
        <v>14.2781845841785</v>
      </c>
      <c r="X9" s="14" t="n">
        <f aca="false">COUNTIF(E9:K9,"&lt;12")+COUNTIF(N9:U9,"&lt;12")</f>
        <v>3</v>
      </c>
      <c r="Y9" s="10" t="str">
        <f aca="false">IF(OR(W9&lt;12,X9&gt;3),"Oui","Non")</f>
        <v>Non</v>
      </c>
    </row>
    <row r="10" customFormat="false" ht="18" hidden="false" customHeight="true" outlineLevel="0" collapsed="false">
      <c r="A10" s="23" t="s">
        <v>47</v>
      </c>
      <c r="B10" s="23" t="s">
        <v>48</v>
      </c>
      <c r="C10" s="23" t="s">
        <v>49</v>
      </c>
      <c r="D10" s="17" t="n">
        <v>6</v>
      </c>
      <c r="E10" s="24" t="n">
        <v>17.81</v>
      </c>
      <c r="F10" s="24" t="n">
        <v>18.28</v>
      </c>
      <c r="G10" s="24" t="n">
        <v>14.46</v>
      </c>
      <c r="H10" s="24" t="n">
        <v>12.18</v>
      </c>
      <c r="I10" s="25" t="n">
        <v>11.88</v>
      </c>
      <c r="J10" s="24" t="n">
        <v>18.58</v>
      </c>
      <c r="K10" s="24" t="n">
        <v>16.81</v>
      </c>
      <c r="L10" s="20" t="n">
        <f aca="false">(E10*5+F10*5+G10*5+H10*4+I10*4+J10*3+K10*3)/29</f>
        <v>15.6951724137931</v>
      </c>
      <c r="M10" s="17" t="n">
        <v>17</v>
      </c>
      <c r="N10" s="24" t="n">
        <v>15.27</v>
      </c>
      <c r="O10" s="24" t="n">
        <v>13.08</v>
      </c>
      <c r="P10" s="25" t="n">
        <v>9.37</v>
      </c>
      <c r="Q10" s="25" t="n">
        <v>9.72</v>
      </c>
      <c r="R10" s="24" t="n">
        <v>14.88</v>
      </c>
      <c r="S10" s="24" t="n">
        <v>16.2</v>
      </c>
      <c r="T10" s="24" t="n">
        <v>12.6</v>
      </c>
      <c r="U10" s="24" t="n">
        <v>12.98</v>
      </c>
      <c r="V10" s="20" t="n">
        <f aca="false">(N10*5+O10*5+P10*5+Q10*4+R10*4+S10*3+T10*3+U10*5)/34</f>
        <v>12.8911764705882</v>
      </c>
      <c r="W10" s="21" t="n">
        <f aca="false">(L10+V10)/2</f>
        <v>14.2931744421907</v>
      </c>
      <c r="X10" s="14" t="n">
        <f aca="false">COUNTIF(E10:K10,"&lt;12")+COUNTIF(N10:U10,"&lt;12")</f>
        <v>3</v>
      </c>
      <c r="Y10" s="10" t="str">
        <f aca="false">IF(OR(W10&lt;12,X10&gt;3),"Oui","Non")</f>
        <v>Non</v>
      </c>
    </row>
    <row r="11" customFormat="false" ht="18" hidden="false" customHeight="true" outlineLevel="0" collapsed="false">
      <c r="A11" s="16" t="s">
        <v>50</v>
      </c>
      <c r="B11" s="16" t="s">
        <v>51</v>
      </c>
      <c r="C11" s="16" t="s">
        <v>52</v>
      </c>
      <c r="D11" s="17" t="n">
        <v>8</v>
      </c>
      <c r="E11" s="24" t="n">
        <v>13.03</v>
      </c>
      <c r="F11" s="24" t="n">
        <v>15.95</v>
      </c>
      <c r="G11" s="24" t="n">
        <v>12.35</v>
      </c>
      <c r="H11" s="25" t="n">
        <v>11.95</v>
      </c>
      <c r="I11" s="24" t="n">
        <v>15.4</v>
      </c>
      <c r="J11" s="25" t="n">
        <v>10.75</v>
      </c>
      <c r="K11" s="25" t="n">
        <v>10.95</v>
      </c>
      <c r="L11" s="20" t="n">
        <f aca="false">(E11*5+F11*5+G11*5+H11*4+I11*4+J11*3+K11*3)/29</f>
        <v>13.1431034482759</v>
      </c>
      <c r="M11" s="17" t="n">
        <v>2</v>
      </c>
      <c r="N11" s="24" t="n">
        <v>13.57</v>
      </c>
      <c r="O11" s="24" t="n">
        <v>14.76</v>
      </c>
      <c r="P11" s="24" t="n">
        <v>14.04</v>
      </c>
      <c r="Q11" s="24" t="n">
        <v>14.52</v>
      </c>
      <c r="R11" s="24" t="n">
        <v>13.72</v>
      </c>
      <c r="S11" s="24" t="n">
        <v>13.32</v>
      </c>
      <c r="T11" s="24" t="n">
        <v>12.63</v>
      </c>
      <c r="U11" s="24" t="n">
        <v>13.32</v>
      </c>
      <c r="V11" s="20" t="n">
        <f aca="false">(N11*5+O11*5+P11*5+Q11*4+R11*4+S11*3+T11*3+U11*5)/34</f>
        <v>13.8017647058823</v>
      </c>
      <c r="W11" s="21" t="n">
        <f aca="false">(L11+V11)/2</f>
        <v>13.4724340770791</v>
      </c>
      <c r="X11" s="14" t="n">
        <f aca="false">COUNTIF(E11:K11,"&lt;12")+COUNTIF(N11:U11,"&lt;12")</f>
        <v>3</v>
      </c>
      <c r="Y11" s="10" t="str">
        <f aca="false">IF(OR(W11&lt;12,X11&gt;3),"Oui","Non")</f>
        <v>Non</v>
      </c>
    </row>
    <row r="12" customFormat="false" ht="18" hidden="false" customHeight="true" outlineLevel="0" collapsed="false">
      <c r="A12" s="23" t="s">
        <v>53</v>
      </c>
      <c r="B12" s="23" t="s">
        <v>54</v>
      </c>
      <c r="C12" s="23" t="s">
        <v>55</v>
      </c>
      <c r="D12" s="17" t="n">
        <v>6</v>
      </c>
      <c r="E12" s="24" t="n">
        <v>15.97</v>
      </c>
      <c r="F12" s="25" t="n">
        <v>9.54</v>
      </c>
      <c r="G12" s="24" t="n">
        <v>14.93</v>
      </c>
      <c r="H12" s="25" t="n">
        <v>10.3</v>
      </c>
      <c r="I12" s="24" t="n">
        <v>13.11</v>
      </c>
      <c r="J12" s="24" t="n">
        <v>18.32</v>
      </c>
      <c r="K12" s="24" t="n">
        <v>17.58</v>
      </c>
      <c r="L12" s="20" t="n">
        <f aca="false">(E12*5+F12*5+G12*5+H12*4+I12*4+J12*3+K12*3)/29</f>
        <v>13.9151724137931</v>
      </c>
      <c r="M12" s="17" t="n">
        <v>13</v>
      </c>
      <c r="N12" s="24" t="n">
        <v>17.37</v>
      </c>
      <c r="O12" s="24" t="n">
        <v>14.36</v>
      </c>
      <c r="P12" s="25" t="n">
        <v>11.17</v>
      </c>
      <c r="Q12" s="24" t="n">
        <v>13.65</v>
      </c>
      <c r="R12" s="24" t="n">
        <v>19.25</v>
      </c>
      <c r="S12" s="24" t="n">
        <v>12.69</v>
      </c>
      <c r="T12" s="24" t="n">
        <v>12.52</v>
      </c>
      <c r="U12" s="24" t="n">
        <v>16.7</v>
      </c>
      <c r="V12" s="20" t="n">
        <f aca="false">(N12*5+O12*5+P12*5+Q12*4+R12*4+S12*3+T12*3+U12*5)/34</f>
        <v>14.8597058823529</v>
      </c>
      <c r="W12" s="21" t="n">
        <f aca="false">(L12+V12)/2</f>
        <v>14.387439148073</v>
      </c>
      <c r="X12" s="14" t="n">
        <f aca="false">COUNTIF(E12:K12,"&lt;12")+COUNTIF(N12:U12,"&lt;12")</f>
        <v>3</v>
      </c>
      <c r="Y12" s="10" t="str">
        <f aca="false">IF(OR(W12&lt;12,X12&gt;3),"Oui","Non")</f>
        <v>Non</v>
      </c>
    </row>
    <row r="13" customFormat="false" ht="18" hidden="false" customHeight="true" outlineLevel="0" collapsed="false">
      <c r="A13" s="16" t="s">
        <v>56</v>
      </c>
      <c r="B13" s="16" t="s">
        <v>57</v>
      </c>
      <c r="C13" s="16" t="s">
        <v>58</v>
      </c>
      <c r="D13" s="17" t="n">
        <v>13</v>
      </c>
      <c r="E13" s="24" t="n">
        <v>19.17</v>
      </c>
      <c r="F13" s="24" t="n">
        <v>16.37</v>
      </c>
      <c r="G13" s="24" t="n">
        <v>18.57</v>
      </c>
      <c r="H13" s="25" t="n">
        <v>9.96</v>
      </c>
      <c r="I13" s="24" t="n">
        <v>12.66</v>
      </c>
      <c r="J13" s="24" t="n">
        <v>17</v>
      </c>
      <c r="K13" s="24" t="n">
        <v>12.33</v>
      </c>
      <c r="L13" s="20" t="n">
        <f aca="false">(E13*5+F13*5+G13*5+H13*4+I13*4+J13*3+K13*3)/29</f>
        <v>15.4834482758621</v>
      </c>
      <c r="M13" s="17" t="n">
        <v>5</v>
      </c>
      <c r="N13" s="24" t="n">
        <v>16.21</v>
      </c>
      <c r="O13" s="25" t="n">
        <v>11.15</v>
      </c>
      <c r="P13" s="24" t="n">
        <v>18.64</v>
      </c>
      <c r="Q13" s="24" t="n">
        <v>17.03</v>
      </c>
      <c r="R13" s="24" t="n">
        <v>17.8</v>
      </c>
      <c r="S13" s="24" t="n">
        <v>17.13</v>
      </c>
      <c r="T13" s="25" t="n">
        <v>10.34</v>
      </c>
      <c r="U13" s="24" t="n">
        <v>17.48</v>
      </c>
      <c r="V13" s="20" t="n">
        <f aca="false">(N13*5+O13*5+P13*5+Q13*4+R13*4+S13*3+T13*3+U13*5)/34</f>
        <v>15.8567647058824</v>
      </c>
      <c r="W13" s="21" t="n">
        <f aca="false">(L13+V13)/2</f>
        <v>15.6701064908722</v>
      </c>
      <c r="X13" s="14" t="n">
        <f aca="false">COUNTIF(E13:K13,"&lt;12")+COUNTIF(N13:U13,"&lt;12")</f>
        <v>3</v>
      </c>
      <c r="Y13" s="10" t="str">
        <f aca="false">IF(OR(W13&lt;12,X13&gt;3),"Oui","Non")</f>
        <v>Non</v>
      </c>
    </row>
    <row r="14" customFormat="false" ht="18" hidden="false" customHeight="true" outlineLevel="0" collapsed="false">
      <c r="A14" s="23" t="s">
        <v>59</v>
      </c>
      <c r="B14" s="23" t="s">
        <v>60</v>
      </c>
      <c r="C14" s="23" t="s">
        <v>61</v>
      </c>
      <c r="D14" s="17" t="n">
        <v>0</v>
      </c>
      <c r="E14" s="24" t="n">
        <v>13.37</v>
      </c>
      <c r="F14" s="24" t="n">
        <v>19.13</v>
      </c>
      <c r="G14" s="25" t="n">
        <v>9.23</v>
      </c>
      <c r="H14" s="24" t="n">
        <v>19.03</v>
      </c>
      <c r="I14" s="25" t="n">
        <v>10.32</v>
      </c>
      <c r="J14" s="24" t="n">
        <v>13.72</v>
      </c>
      <c r="K14" s="24" t="n">
        <v>12.43</v>
      </c>
      <c r="L14" s="20" t="n">
        <f aca="false">(E14*5+F14*5+G14*5+H14*4+I14*4+J14*3+K14*3)/29</f>
        <v>13.948275862069</v>
      </c>
      <c r="M14" s="17" t="n">
        <v>10</v>
      </c>
      <c r="N14" s="24" t="n">
        <v>12.45</v>
      </c>
      <c r="O14" s="24" t="n">
        <v>19.3</v>
      </c>
      <c r="P14" s="24" t="n">
        <v>14.14</v>
      </c>
      <c r="Q14" s="24" t="n">
        <v>18.24</v>
      </c>
      <c r="R14" s="25" t="n">
        <v>9.38</v>
      </c>
      <c r="S14" s="24" t="n">
        <v>12.68</v>
      </c>
      <c r="T14" s="24" t="n">
        <v>12.45</v>
      </c>
      <c r="U14" s="24" t="n">
        <v>14.94</v>
      </c>
      <c r="V14" s="20" t="n">
        <f aca="false">(N14*5+O14*5+P14*5+Q14*4+R14*4+S14*3+T14*3+U14*5)/34</f>
        <v>14.4123529411765</v>
      </c>
      <c r="W14" s="21" t="n">
        <f aca="false">(L14+V14)/2</f>
        <v>14.1803144016227</v>
      </c>
      <c r="X14" s="14" t="n">
        <f aca="false">COUNTIF(E14:K14,"&lt;12")+COUNTIF(N14:U14,"&lt;12")</f>
        <v>3</v>
      </c>
      <c r="Y14" s="10" t="str">
        <f aca="false">IF(OR(W14&lt;12,X14&gt;3),"Oui","Non")</f>
        <v>Non</v>
      </c>
    </row>
    <row r="15" customFormat="false" ht="18" hidden="false" customHeight="true" outlineLevel="0" collapsed="false">
      <c r="A15" s="16" t="s">
        <v>62</v>
      </c>
      <c r="B15" s="16" t="s">
        <v>63</v>
      </c>
      <c r="C15" s="16" t="s">
        <v>64</v>
      </c>
      <c r="D15" s="17" t="n">
        <v>5</v>
      </c>
      <c r="E15" s="24" t="n">
        <v>14.69</v>
      </c>
      <c r="F15" s="25" t="n">
        <v>10.76</v>
      </c>
      <c r="G15" s="24" t="n">
        <v>13.85</v>
      </c>
      <c r="H15" s="25" t="n">
        <v>7.01</v>
      </c>
      <c r="I15" s="25" t="n">
        <v>10.59</v>
      </c>
      <c r="J15" s="24" t="n">
        <v>12.37</v>
      </c>
      <c r="K15" s="24" t="n">
        <v>14.25</v>
      </c>
      <c r="L15" s="20" t="n">
        <f aca="false">(E15*5+F15*5+G15*5+H15*4+I15*4+J15*3+K15*3)/29</f>
        <v>11.9572413793103</v>
      </c>
      <c r="M15" s="17" t="n">
        <v>14</v>
      </c>
      <c r="N15" s="24" t="n">
        <v>12.52</v>
      </c>
      <c r="O15" s="24" t="n">
        <v>15.45</v>
      </c>
      <c r="P15" s="24" t="n">
        <v>13.39</v>
      </c>
      <c r="Q15" s="24" t="n">
        <v>16.92</v>
      </c>
      <c r="R15" s="24" t="n">
        <v>19</v>
      </c>
      <c r="S15" s="24" t="n">
        <v>16.2</v>
      </c>
      <c r="T15" s="24" t="n">
        <v>15.24</v>
      </c>
      <c r="U15" s="24" t="n">
        <v>12.7</v>
      </c>
      <c r="V15" s="20" t="n">
        <f aca="false">(N15*5+O15*5+P15*5+Q15*4+R15*4+S15*3+T15*3+U15*5)/34</f>
        <v>14.95</v>
      </c>
      <c r="W15" s="21" t="n">
        <f aca="false">(L15+V15)/2</f>
        <v>13.4536206896552</v>
      </c>
      <c r="X15" s="14" t="n">
        <f aca="false">COUNTIF(E15:K15,"&lt;12")+COUNTIF(N15:U15,"&lt;12")</f>
        <v>3</v>
      </c>
      <c r="Y15" s="10" t="str">
        <f aca="false">IF(OR(W15&lt;12,X15&gt;3),"Oui","Non")</f>
        <v>Non</v>
      </c>
    </row>
    <row r="16" customFormat="false" ht="18" hidden="false" customHeight="true" outlineLevel="0" collapsed="false">
      <c r="A16" s="23" t="s">
        <v>65</v>
      </c>
      <c r="B16" s="23" t="s">
        <v>66</v>
      </c>
      <c r="C16" s="23" t="s">
        <v>67</v>
      </c>
      <c r="D16" s="17" t="n">
        <v>3</v>
      </c>
      <c r="E16" s="24" t="n">
        <v>16.73</v>
      </c>
      <c r="F16" s="25" t="n">
        <v>9.74</v>
      </c>
      <c r="G16" s="24" t="n">
        <v>17.05</v>
      </c>
      <c r="H16" s="24" t="n">
        <v>15.7</v>
      </c>
      <c r="I16" s="24" t="n">
        <v>12.81</v>
      </c>
      <c r="J16" s="24" t="n">
        <v>13.97</v>
      </c>
      <c r="K16" s="24" t="n">
        <v>18.47</v>
      </c>
      <c r="L16" s="20" t="n">
        <f aca="false">(E16*5+F16*5+G16*5+H16*4+I16*4+J16*3+K16*3)/29</f>
        <v>14.791724137931</v>
      </c>
      <c r="M16" s="17" t="n">
        <v>4</v>
      </c>
      <c r="N16" s="24" t="n">
        <v>17.02</v>
      </c>
      <c r="O16" s="24" t="n">
        <v>15.34</v>
      </c>
      <c r="P16" s="24" t="n">
        <v>19.35</v>
      </c>
      <c r="Q16" s="24" t="n">
        <v>14.44</v>
      </c>
      <c r="R16" s="24" t="n">
        <v>18.88</v>
      </c>
      <c r="S16" s="24" t="n">
        <v>18.14</v>
      </c>
      <c r="T16" s="24" t="n">
        <v>14.66</v>
      </c>
      <c r="U16" s="24" t="n">
        <v>16.83</v>
      </c>
      <c r="V16" s="20" t="n">
        <f aca="false">(N16*5+O16*5+P16*5+Q16*4+R16*4+S16*3+T16*3+U16*5)/34</f>
        <v>16.8935294117647</v>
      </c>
      <c r="W16" s="21" t="n">
        <f aca="false">(L16+V16)/2</f>
        <v>15.8426267748479</v>
      </c>
      <c r="X16" s="14" t="n">
        <f aca="false">COUNTIF(E16:K16,"&lt;12")+COUNTIF(N16:U16,"&lt;12")</f>
        <v>1</v>
      </c>
      <c r="Y16" s="10" t="str">
        <f aca="false">IF(OR(W16&lt;12,X16&gt;3),"Oui","Non")</f>
        <v>Non</v>
      </c>
    </row>
    <row r="17" customFormat="false" ht="18" hidden="false" customHeight="true" outlineLevel="0" collapsed="false">
      <c r="A17" s="16" t="s">
        <v>68</v>
      </c>
      <c r="B17" s="16" t="s">
        <v>69</v>
      </c>
      <c r="C17" s="16" t="s">
        <v>70</v>
      </c>
      <c r="D17" s="17" t="n">
        <v>12</v>
      </c>
      <c r="E17" s="24" t="n">
        <v>15.67</v>
      </c>
      <c r="F17" s="24" t="n">
        <v>15.83</v>
      </c>
      <c r="G17" s="25" t="n">
        <v>7.8</v>
      </c>
      <c r="H17" s="24" t="n">
        <v>12.09</v>
      </c>
      <c r="I17" s="24" t="n">
        <v>13.78</v>
      </c>
      <c r="J17" s="24" t="n">
        <v>12.2</v>
      </c>
      <c r="K17" s="25" t="n">
        <v>9.59</v>
      </c>
      <c r="L17" s="20" t="n">
        <f aca="false">(E17*5+F17*5+G17*5+H17*4+I17*4+J17*3+K17*3)/29</f>
        <v>12.598275862069</v>
      </c>
      <c r="M17" s="17" t="n">
        <v>18</v>
      </c>
      <c r="N17" s="24" t="n">
        <v>18.83</v>
      </c>
      <c r="O17" s="24" t="n">
        <v>12.32</v>
      </c>
      <c r="P17" s="24" t="n">
        <v>18.01</v>
      </c>
      <c r="Q17" s="24" t="n">
        <v>14.2</v>
      </c>
      <c r="R17" s="24" t="n">
        <v>12.96</v>
      </c>
      <c r="S17" s="24" t="n">
        <v>18.78</v>
      </c>
      <c r="T17" s="25" t="n">
        <v>10.73</v>
      </c>
      <c r="U17" s="24" t="n">
        <v>13.7</v>
      </c>
      <c r="V17" s="20" t="n">
        <f aca="false">(N17*5+O17*5+P17*5+Q17*4+R17*4+S17*3+T17*3+U17*5)/34</f>
        <v>15.0432352941177</v>
      </c>
      <c r="W17" s="21" t="n">
        <f aca="false">(L17+V17)/2</f>
        <v>13.8207555780933</v>
      </c>
      <c r="X17" s="14" t="n">
        <f aca="false">COUNTIF(E17:K17,"&lt;12")+COUNTIF(N17:U17,"&lt;12")</f>
        <v>3</v>
      </c>
      <c r="Y17" s="10" t="str">
        <f aca="false">IF(OR(W17&lt;12,X17&gt;3),"Oui","Non")</f>
        <v>Non</v>
      </c>
    </row>
    <row r="18" customFormat="false" ht="18" hidden="false" customHeight="true" outlineLevel="0" collapsed="false">
      <c r="A18" s="23" t="s">
        <v>71</v>
      </c>
      <c r="B18" s="23" t="s">
        <v>72</v>
      </c>
      <c r="C18" s="23" t="s">
        <v>73</v>
      </c>
      <c r="D18" s="17" t="n">
        <v>13</v>
      </c>
      <c r="E18" s="24" t="n">
        <v>14.26</v>
      </c>
      <c r="F18" s="24" t="n">
        <v>12.77</v>
      </c>
      <c r="G18" s="24" t="n">
        <v>14.95</v>
      </c>
      <c r="H18" s="25" t="n">
        <v>11.74</v>
      </c>
      <c r="I18" s="24" t="n">
        <v>14.56</v>
      </c>
      <c r="J18" s="25" t="n">
        <v>11.09</v>
      </c>
      <c r="K18" s="24" t="n">
        <v>16.52</v>
      </c>
      <c r="L18" s="20" t="n">
        <f aca="false">(E18*5+F18*5+G18*5+H18*4+I18*4+J18*3+K18*3)/29</f>
        <v>13.721724137931</v>
      </c>
      <c r="M18" s="17" t="n">
        <v>13</v>
      </c>
      <c r="N18" s="24" t="n">
        <v>12.38</v>
      </c>
      <c r="O18" s="24" t="n">
        <v>14.25</v>
      </c>
      <c r="P18" s="24" t="n">
        <v>14.53</v>
      </c>
      <c r="Q18" s="24" t="n">
        <v>13.74</v>
      </c>
      <c r="R18" s="24" t="n">
        <v>19.5</v>
      </c>
      <c r="S18" s="25" t="n">
        <v>11.37</v>
      </c>
      <c r="T18" s="24" t="n">
        <v>15.13</v>
      </c>
      <c r="U18" s="24" t="n">
        <v>17.42</v>
      </c>
      <c r="V18" s="20" t="n">
        <f aca="false">(N18*5+O18*5+P18*5+Q18*4+R18*4+S18*3+T18*3+U18*5)/34</f>
        <v>14.8635294117647</v>
      </c>
      <c r="W18" s="21" t="n">
        <f aca="false">(L18+V18)/2</f>
        <v>14.2926267748479</v>
      </c>
      <c r="X18" s="14" t="n">
        <f aca="false">COUNTIF(E18:K18,"&lt;12")+COUNTIF(N18:U18,"&lt;12")</f>
        <v>3</v>
      </c>
      <c r="Y18" s="10" t="str">
        <f aca="false">IF(OR(W18&lt;12,X18&gt;3),"Oui","Non")</f>
        <v>Non</v>
      </c>
    </row>
    <row r="19" customFormat="false" ht="18" hidden="false" customHeight="true" outlineLevel="0" collapsed="false">
      <c r="A19" s="16" t="s">
        <v>74</v>
      </c>
      <c r="B19" s="16" t="s">
        <v>75</v>
      </c>
      <c r="C19" s="16" t="s">
        <v>76</v>
      </c>
      <c r="D19" s="17" t="n">
        <v>9</v>
      </c>
      <c r="E19" s="24" t="n">
        <v>14.2</v>
      </c>
      <c r="F19" s="24" t="n">
        <v>18.35</v>
      </c>
      <c r="G19" s="25" t="n">
        <v>11.69</v>
      </c>
      <c r="H19" s="24" t="n">
        <v>18.77</v>
      </c>
      <c r="I19" s="25" t="n">
        <v>9.48</v>
      </c>
      <c r="J19" s="24" t="n">
        <v>14.4</v>
      </c>
      <c r="K19" s="24" t="n">
        <v>17.38</v>
      </c>
      <c r="L19" s="20" t="n">
        <f aca="false">(E19*5+F19*5+G19*5+H19*4+I19*4+J19*3+K19*3)/29</f>
        <v>14.811724137931</v>
      </c>
      <c r="M19" s="17" t="n">
        <v>9</v>
      </c>
      <c r="N19" s="24" t="n">
        <v>17.63</v>
      </c>
      <c r="O19" s="24" t="n">
        <v>14.51</v>
      </c>
      <c r="P19" s="24" t="n">
        <v>13.44</v>
      </c>
      <c r="Q19" s="24" t="n">
        <v>19.3</v>
      </c>
      <c r="R19" s="24" t="n">
        <v>16.78</v>
      </c>
      <c r="S19" s="25" t="n">
        <v>11.34</v>
      </c>
      <c r="T19" s="24" t="n">
        <v>12.35</v>
      </c>
      <c r="U19" s="24" t="n">
        <v>13.52</v>
      </c>
      <c r="V19" s="20" t="n">
        <f aca="false">(N19*5+O19*5+P19*5+Q19*4+R19*4+S19*3+T19*3+U19*5)/34</f>
        <v>15.0261764705882</v>
      </c>
      <c r="W19" s="21" t="n">
        <f aca="false">(L19+V19)/2</f>
        <v>14.9189503042596</v>
      </c>
      <c r="X19" s="14" t="n">
        <f aca="false">COUNTIF(E19:K19,"&lt;12")+COUNTIF(N19:U19,"&lt;12")</f>
        <v>3</v>
      </c>
      <c r="Y19" s="10" t="str">
        <f aca="false">IF(OR(W19&lt;12,X19&gt;3),"Oui","Non")</f>
        <v>Non</v>
      </c>
    </row>
    <row r="20" customFormat="false" ht="18" hidden="false" customHeight="true" outlineLevel="0" collapsed="false">
      <c r="A20" s="23" t="s">
        <v>77</v>
      </c>
      <c r="B20" s="23" t="s">
        <v>78</v>
      </c>
      <c r="C20" s="23" t="s">
        <v>79</v>
      </c>
      <c r="D20" s="17" t="n">
        <v>7</v>
      </c>
      <c r="E20" s="24" t="n">
        <v>17.38</v>
      </c>
      <c r="F20" s="24" t="n">
        <v>12.33</v>
      </c>
      <c r="G20" s="24" t="n">
        <v>18.02</v>
      </c>
      <c r="H20" s="24" t="n">
        <v>12.41</v>
      </c>
      <c r="I20" s="24" t="n">
        <v>12.81</v>
      </c>
      <c r="J20" s="24" t="n">
        <v>14.63</v>
      </c>
      <c r="K20" s="25" t="n">
        <v>11.74</v>
      </c>
      <c r="L20" s="20" t="n">
        <f aca="false">(E20*5+F20*5+G20*5+H20*4+I20*4+J20*3+K20*3)/29</f>
        <v>14.4358620689655</v>
      </c>
      <c r="M20" s="17" t="n">
        <v>10</v>
      </c>
      <c r="N20" s="24" t="n">
        <v>14.37</v>
      </c>
      <c r="O20" s="24" t="n">
        <v>13.66</v>
      </c>
      <c r="P20" s="24" t="n">
        <v>16.97</v>
      </c>
      <c r="Q20" s="25" t="n">
        <v>11.25</v>
      </c>
      <c r="R20" s="24" t="n">
        <v>18</v>
      </c>
      <c r="S20" s="24" t="n">
        <v>15.76</v>
      </c>
      <c r="T20" s="25" t="n">
        <v>10.45</v>
      </c>
      <c r="U20" s="24" t="n">
        <v>13.39</v>
      </c>
      <c r="V20" s="20" t="n">
        <f aca="false">(N20*5+O20*5+P20*5+Q20*4+R20*4+S20*3+T20*3+U20*5)/34</f>
        <v>14.3405882352941</v>
      </c>
      <c r="W20" s="21" t="n">
        <f aca="false">(L20+V20)/2</f>
        <v>14.3882251521298</v>
      </c>
      <c r="X20" s="14" t="n">
        <f aca="false">COUNTIF(E20:K20,"&lt;12")+COUNTIF(N20:U20,"&lt;12")</f>
        <v>3</v>
      </c>
      <c r="Y20" s="10" t="str">
        <f aca="false">IF(OR(W20&lt;12,X20&gt;3),"Oui","Non")</f>
        <v>Non</v>
      </c>
    </row>
    <row r="21" customFormat="false" ht="18" hidden="false" customHeight="true" outlineLevel="0" collapsed="false">
      <c r="A21" s="16" t="s">
        <v>80</v>
      </c>
      <c r="B21" s="16" t="s">
        <v>81</v>
      </c>
      <c r="C21" s="16" t="s">
        <v>82</v>
      </c>
      <c r="D21" s="17" t="n">
        <v>8</v>
      </c>
      <c r="E21" s="25" t="n">
        <v>10.83</v>
      </c>
      <c r="F21" s="24" t="n">
        <v>14.35</v>
      </c>
      <c r="G21" s="24" t="n">
        <v>16.02</v>
      </c>
      <c r="H21" s="25" t="n">
        <v>10.94</v>
      </c>
      <c r="I21" s="24" t="n">
        <v>16.29</v>
      </c>
      <c r="J21" s="24" t="n">
        <v>18.89</v>
      </c>
      <c r="K21" s="24" t="n">
        <v>15.63</v>
      </c>
      <c r="L21" s="20" t="n">
        <f aca="false">(E21*5+F21*5+G21*5+H21*4+I21*4+J21*3+K21*3)/29</f>
        <v>14.4303448275862</v>
      </c>
      <c r="M21" s="17" t="n">
        <v>15</v>
      </c>
      <c r="N21" s="24" t="n">
        <v>13.7</v>
      </c>
      <c r="O21" s="24" t="n">
        <v>14.37</v>
      </c>
      <c r="P21" s="24" t="n">
        <v>16.5</v>
      </c>
      <c r="Q21" s="24" t="n">
        <v>14.46</v>
      </c>
      <c r="R21" s="24" t="n">
        <v>19.26</v>
      </c>
      <c r="S21" s="24" t="n">
        <v>17.41</v>
      </c>
      <c r="T21" s="25" t="n">
        <v>10.7</v>
      </c>
      <c r="U21" s="24" t="n">
        <v>13.43</v>
      </c>
      <c r="V21" s="20" t="n">
        <f aca="false">(N21*5+O21*5+P21*5+Q21*4+R21*4+S21*3+T21*3+U21*5)/34</f>
        <v>14.9767647058824</v>
      </c>
      <c r="W21" s="21" t="n">
        <f aca="false">(L21+V21)/2</f>
        <v>14.7035547667343</v>
      </c>
      <c r="X21" s="14" t="n">
        <f aca="false">COUNTIF(E21:K21,"&lt;12")+COUNTIF(N21:U21,"&lt;12")</f>
        <v>3</v>
      </c>
      <c r="Y21" s="10" t="str">
        <f aca="false">IF(OR(W21&lt;12,X21&gt;3),"Oui","Non")</f>
        <v>Non</v>
      </c>
    </row>
    <row r="22" customFormat="false" ht="18" hidden="false" customHeight="true" outlineLevel="0" collapsed="false">
      <c r="A22" s="23" t="s">
        <v>83</v>
      </c>
      <c r="B22" s="23" t="s">
        <v>84</v>
      </c>
      <c r="C22" s="23" t="s">
        <v>85</v>
      </c>
      <c r="D22" s="17" t="n">
        <v>12</v>
      </c>
      <c r="E22" s="24" t="n">
        <v>13.15</v>
      </c>
      <c r="F22" s="24" t="n">
        <v>14.21</v>
      </c>
      <c r="G22" s="24" t="n">
        <v>15.58</v>
      </c>
      <c r="H22" s="25" t="n">
        <v>8.9</v>
      </c>
      <c r="I22" s="24" t="n">
        <v>17.14</v>
      </c>
      <c r="J22" s="24" t="n">
        <v>18.86</v>
      </c>
      <c r="K22" s="25" t="n">
        <v>8.06</v>
      </c>
      <c r="L22" s="20" t="n">
        <f aca="false">(E22*5+F22*5+G22*5+H22*4+I22*4+J22*3+K22*3)/29</f>
        <v>13.78</v>
      </c>
      <c r="M22" s="17" t="n">
        <v>17</v>
      </c>
      <c r="N22" s="24" t="n">
        <v>16.56</v>
      </c>
      <c r="O22" s="24" t="n">
        <v>14.58</v>
      </c>
      <c r="P22" s="24" t="n">
        <v>16.88</v>
      </c>
      <c r="Q22" s="25" t="n">
        <v>9.82</v>
      </c>
      <c r="R22" s="24" t="n">
        <v>13.53</v>
      </c>
      <c r="S22" s="24" t="n">
        <v>12.63</v>
      </c>
      <c r="T22" s="24" t="n">
        <v>12.53</v>
      </c>
      <c r="U22" s="24" t="n">
        <v>18.17</v>
      </c>
      <c r="V22" s="20" t="n">
        <f aca="false">(N22*5+O22*5+P22*5+Q22*4+R22*4+S22*3+T22*3+U22*5)/34</f>
        <v>14.7008823529412</v>
      </c>
      <c r="W22" s="21" t="n">
        <f aca="false">(L22+V22)/2</f>
        <v>14.2404411764706</v>
      </c>
      <c r="X22" s="14" t="n">
        <f aca="false">COUNTIF(E22:K22,"&lt;12")+COUNTIF(N22:U22,"&lt;12")</f>
        <v>3</v>
      </c>
      <c r="Y22" s="10" t="str">
        <f aca="false">IF(OR(W22&lt;12,X22&gt;3),"Oui","Non")</f>
        <v>Non</v>
      </c>
    </row>
    <row r="23" customFormat="false" ht="18" hidden="false" customHeight="true" outlineLevel="0" collapsed="false">
      <c r="A23" s="16" t="s">
        <v>86</v>
      </c>
      <c r="B23" s="16" t="s">
        <v>87</v>
      </c>
      <c r="C23" s="16" t="s">
        <v>88</v>
      </c>
      <c r="D23" s="17" t="n">
        <v>14</v>
      </c>
      <c r="E23" s="24" t="n">
        <v>12.45</v>
      </c>
      <c r="F23" s="25" t="n">
        <v>9.92</v>
      </c>
      <c r="G23" s="25" t="n">
        <v>10.31</v>
      </c>
      <c r="H23" s="24" t="n">
        <v>16.89</v>
      </c>
      <c r="I23" s="24" t="n">
        <v>14.37</v>
      </c>
      <c r="J23" s="24" t="n">
        <v>17.05</v>
      </c>
      <c r="K23" s="24" t="n">
        <v>14.55</v>
      </c>
      <c r="L23" s="20" t="n">
        <f aca="false">(E23*5+F23*5+G23*5+H23*4+I23*4+J23*3+K23*3)/29</f>
        <v>13.2151724137931</v>
      </c>
      <c r="M23" s="17" t="n">
        <v>7</v>
      </c>
      <c r="N23" s="24" t="n">
        <v>15.1</v>
      </c>
      <c r="O23" s="24" t="n">
        <v>18.36</v>
      </c>
      <c r="P23" s="24" t="n">
        <v>17.33</v>
      </c>
      <c r="Q23" s="24" t="n">
        <v>14.82</v>
      </c>
      <c r="R23" s="24" t="n">
        <v>12.26</v>
      </c>
      <c r="S23" s="25" t="n">
        <v>10.85</v>
      </c>
      <c r="T23" s="24" t="n">
        <v>16.36</v>
      </c>
      <c r="U23" s="24" t="n">
        <v>15.41</v>
      </c>
      <c r="V23" s="20" t="n">
        <f aca="false">(N23*5+O23*5+P23*5+Q23*4+R23*4+S23*3+T23*3+U23*5)/34</f>
        <v>15.3220588235294</v>
      </c>
      <c r="W23" s="21" t="n">
        <f aca="false">(L23+V23)/2</f>
        <v>14.2686156186613</v>
      </c>
      <c r="X23" s="14" t="n">
        <f aca="false">COUNTIF(E23:K23,"&lt;12")+COUNTIF(N23:U23,"&lt;12")</f>
        <v>3</v>
      </c>
      <c r="Y23" s="10" t="str">
        <f aca="false">IF(OR(W23&lt;12,X23&gt;3),"Oui","Non")</f>
        <v>Non</v>
      </c>
    </row>
    <row r="24" customFormat="false" ht="18" hidden="false" customHeight="true" outlineLevel="0" collapsed="false">
      <c r="A24" s="23" t="s">
        <v>89</v>
      </c>
      <c r="B24" s="23" t="s">
        <v>90</v>
      </c>
      <c r="C24" s="23" t="s">
        <v>91</v>
      </c>
      <c r="D24" s="17" t="n">
        <v>8</v>
      </c>
      <c r="E24" s="24" t="n">
        <v>14.2</v>
      </c>
      <c r="F24" s="24" t="n">
        <v>16.54</v>
      </c>
      <c r="G24" s="25" t="n">
        <v>9.19</v>
      </c>
      <c r="H24" s="24" t="n">
        <v>13.49</v>
      </c>
      <c r="I24" s="24" t="n">
        <v>12.53</v>
      </c>
      <c r="J24" s="25" t="n">
        <v>10.48</v>
      </c>
      <c r="K24" s="24" t="n">
        <v>19.46</v>
      </c>
      <c r="L24" s="20" t="n">
        <f aca="false">(E24*5+F24*5+G24*5+H24*4+I24*4+J24*3+K24*3)/29</f>
        <v>13.5706896551724</v>
      </c>
      <c r="M24" s="17" t="n">
        <v>15</v>
      </c>
      <c r="N24" s="24" t="n">
        <v>19.11</v>
      </c>
      <c r="O24" s="24" t="n">
        <v>12.88</v>
      </c>
      <c r="P24" s="24" t="n">
        <v>12.1</v>
      </c>
      <c r="Q24" s="25" t="n">
        <v>11.01</v>
      </c>
      <c r="R24" s="24" t="n">
        <v>14.92</v>
      </c>
      <c r="S24" s="24" t="n">
        <v>14.28</v>
      </c>
      <c r="T24" s="24" t="n">
        <v>12.15</v>
      </c>
      <c r="U24" s="24" t="n">
        <v>14.71</v>
      </c>
      <c r="V24" s="20" t="n">
        <f aca="false">(N24*5+O24*5+P24*5+Q24*4+R24*4+S24*3+T24*3+U24*5)/34</f>
        <v>14.0297058823529</v>
      </c>
      <c r="W24" s="21" t="n">
        <f aca="false">(L24+V24)/2</f>
        <v>13.8001977687627</v>
      </c>
      <c r="X24" s="14" t="n">
        <f aca="false">COUNTIF(E24:K24,"&lt;12")+COUNTIF(N24:U24,"&lt;12")</f>
        <v>3</v>
      </c>
      <c r="Y24" s="10" t="str">
        <f aca="false">IF(OR(W24&lt;12,X24&gt;3),"Oui","Non")</f>
        <v>Non</v>
      </c>
    </row>
    <row r="25" customFormat="false" ht="18" hidden="false" customHeight="true" outlineLevel="0" collapsed="false">
      <c r="A25" s="16" t="s">
        <v>92</v>
      </c>
      <c r="B25" s="16" t="s">
        <v>93</v>
      </c>
      <c r="C25" s="16" t="s">
        <v>94</v>
      </c>
      <c r="D25" s="17" t="n">
        <v>4</v>
      </c>
      <c r="E25" s="24" t="n">
        <v>18.6</v>
      </c>
      <c r="F25" s="24" t="n">
        <v>12.48</v>
      </c>
      <c r="G25" s="24" t="n">
        <v>15.73</v>
      </c>
      <c r="H25" s="24" t="n">
        <v>12.74</v>
      </c>
      <c r="I25" s="24" t="n">
        <v>19.16</v>
      </c>
      <c r="J25" s="24" t="n">
        <v>14.61</v>
      </c>
      <c r="K25" s="25" t="n">
        <v>9.99</v>
      </c>
      <c r="L25" s="20" t="n">
        <f aca="false">(E25*5+F25*5+G25*5+H25*4+I25*4+J25*3+K25*3)/29</f>
        <v>15.0155172413793</v>
      </c>
      <c r="M25" s="17" t="n">
        <v>17</v>
      </c>
      <c r="N25" s="24" t="n">
        <v>14.84</v>
      </c>
      <c r="O25" s="24" t="n">
        <v>12.1</v>
      </c>
      <c r="P25" s="25" t="n">
        <v>9.81</v>
      </c>
      <c r="Q25" s="24" t="n">
        <v>17.52</v>
      </c>
      <c r="R25" s="24" t="n">
        <v>13.64</v>
      </c>
      <c r="S25" s="24" t="n">
        <v>18.84</v>
      </c>
      <c r="T25" s="24" t="n">
        <v>15.1</v>
      </c>
      <c r="U25" s="25" t="n">
        <v>11.46</v>
      </c>
      <c r="V25" s="20" t="n">
        <f aca="false">(N25*5+O25*5+P25*5+Q25*4+R25*4+S25*3+T25*3+U25*5)/34</f>
        <v>13.7502941176471</v>
      </c>
      <c r="W25" s="21" t="n">
        <f aca="false">(L25+V25)/2</f>
        <v>14.3829056795132</v>
      </c>
      <c r="X25" s="14" t="n">
        <f aca="false">COUNTIF(E25:K25,"&lt;12")+COUNTIF(N25:U25,"&lt;12")</f>
        <v>3</v>
      </c>
      <c r="Y25" s="10" t="str">
        <f aca="false">IF(OR(W25&lt;12,X25&gt;3),"Oui","Non")</f>
        <v>Non</v>
      </c>
    </row>
    <row r="26" customFormat="false" ht="18" hidden="false" customHeight="true" outlineLevel="0" collapsed="false">
      <c r="A26" s="23" t="s">
        <v>95</v>
      </c>
      <c r="B26" s="23" t="s">
        <v>96</v>
      </c>
      <c r="C26" s="23" t="s">
        <v>97</v>
      </c>
      <c r="D26" s="17" t="n">
        <v>9</v>
      </c>
      <c r="E26" s="24" t="n">
        <v>17.47</v>
      </c>
      <c r="F26" s="24" t="n">
        <v>14.25</v>
      </c>
      <c r="G26" s="24" t="n">
        <v>15.25</v>
      </c>
      <c r="H26" s="24" t="n">
        <v>17.82</v>
      </c>
      <c r="I26" s="24" t="n">
        <v>12.58</v>
      </c>
      <c r="J26" s="24" t="n">
        <v>13.05</v>
      </c>
      <c r="K26" s="25" t="n">
        <v>11.16</v>
      </c>
      <c r="L26" s="20" t="n">
        <f aca="false">(E26*5+F26*5+G26*5+H26*4+I26*4+J26*3+K26*3)/29</f>
        <v>14.7958620689655</v>
      </c>
      <c r="M26" s="17" t="n">
        <v>12</v>
      </c>
      <c r="N26" s="24" t="n">
        <v>12.69</v>
      </c>
      <c r="O26" s="25" t="n">
        <v>11.02</v>
      </c>
      <c r="P26" s="24" t="n">
        <v>13.47</v>
      </c>
      <c r="Q26" s="24" t="n">
        <v>15.72</v>
      </c>
      <c r="R26" s="24" t="n">
        <v>14.15</v>
      </c>
      <c r="S26" s="24" t="n">
        <v>14.24</v>
      </c>
      <c r="T26" s="24" t="n">
        <v>16.69</v>
      </c>
      <c r="U26" s="25" t="n">
        <v>10.41</v>
      </c>
      <c r="V26" s="20" t="n">
        <f aca="false">(N26*5+O26*5+P26*5+Q26*4+R26*4+S26*3+T26*3+U26*5)/34</f>
        <v>13.2417647058824</v>
      </c>
      <c r="W26" s="21" t="n">
        <f aca="false">(L26+V26)/2</f>
        <v>14.0188133874239</v>
      </c>
      <c r="X26" s="14" t="n">
        <f aca="false">COUNTIF(E26:K26,"&lt;12")+COUNTIF(N26:U26,"&lt;12")</f>
        <v>3</v>
      </c>
      <c r="Y26" s="10" t="str">
        <f aca="false">IF(OR(W26&lt;12,X26&gt;3),"Oui","Non")</f>
        <v>Non</v>
      </c>
    </row>
    <row r="27" customFormat="false" ht="18" hidden="false" customHeight="true" outlineLevel="0" collapsed="false">
      <c r="A27" s="16" t="s">
        <v>98</v>
      </c>
      <c r="B27" s="16" t="s">
        <v>99</v>
      </c>
      <c r="C27" s="16" t="s">
        <v>100</v>
      </c>
      <c r="D27" s="17" t="n">
        <v>15</v>
      </c>
      <c r="E27" s="24" t="n">
        <v>16.77</v>
      </c>
      <c r="F27" s="25" t="n">
        <v>10.31</v>
      </c>
      <c r="G27" s="24" t="n">
        <v>14.79</v>
      </c>
      <c r="H27" s="25" t="n">
        <v>11.97</v>
      </c>
      <c r="I27" s="24" t="n">
        <v>14.33</v>
      </c>
      <c r="J27" s="25" t="n">
        <v>11.11</v>
      </c>
      <c r="K27" s="24" t="n">
        <v>15.43</v>
      </c>
      <c r="L27" s="20" t="n">
        <f aca="false">(E27*5+F27*5+G27*5+H27*4+I27*4+J27*3+K27*3)/29</f>
        <v>13.5920689655172</v>
      </c>
      <c r="M27" s="17" t="n">
        <v>10</v>
      </c>
      <c r="N27" s="24" t="n">
        <v>14.83</v>
      </c>
      <c r="O27" s="24" t="n">
        <v>18.09</v>
      </c>
      <c r="P27" s="24" t="n">
        <v>13.1</v>
      </c>
      <c r="Q27" s="24" t="n">
        <v>13.76</v>
      </c>
      <c r="R27" s="24" t="n">
        <v>14.72</v>
      </c>
      <c r="S27" s="24" t="n">
        <v>13.21</v>
      </c>
      <c r="T27" s="24" t="n">
        <v>15.55</v>
      </c>
      <c r="U27" s="24" t="n">
        <v>12.73</v>
      </c>
      <c r="V27" s="20" t="n">
        <f aca="false">(N27*5+O27*5+P27*5+Q27*4+R27*4+S27*3+T27*3+U27*5)/34</f>
        <v>14.5279411764706</v>
      </c>
      <c r="W27" s="21" t="n">
        <f aca="false">(L27+V27)/2</f>
        <v>14.0600050709939</v>
      </c>
      <c r="X27" s="14" t="n">
        <f aca="false">COUNTIF(E27:K27,"&lt;12")+COUNTIF(N27:U27,"&lt;12")</f>
        <v>3</v>
      </c>
      <c r="Y27" s="10" t="str">
        <f aca="false">IF(OR(W27&lt;12,X27&gt;3),"Oui","Non")</f>
        <v>Non</v>
      </c>
    </row>
    <row r="28" customFormat="false" ht="18" hidden="false" customHeight="true" outlineLevel="0" collapsed="false">
      <c r="A28" s="23" t="s">
        <v>101</v>
      </c>
      <c r="B28" s="23" t="s">
        <v>102</v>
      </c>
      <c r="C28" s="23" t="s">
        <v>103</v>
      </c>
      <c r="D28" s="17" t="n">
        <v>12</v>
      </c>
      <c r="E28" s="24" t="n">
        <v>14.75</v>
      </c>
      <c r="F28" s="24" t="n">
        <v>13.54</v>
      </c>
      <c r="G28" s="24" t="n">
        <v>18.41</v>
      </c>
      <c r="H28" s="24" t="n">
        <v>14.85</v>
      </c>
      <c r="I28" s="24" t="n">
        <v>12.76</v>
      </c>
      <c r="J28" s="25" t="n">
        <v>10.17</v>
      </c>
      <c r="K28" s="25" t="n">
        <v>10.19</v>
      </c>
      <c r="L28" s="20" t="n">
        <f aca="false">(E28*5+F28*5+G28*5+H28*4+I28*4+J28*3+K28*3)/29</f>
        <v>13.9662068965517</v>
      </c>
      <c r="M28" s="17" t="n">
        <v>14</v>
      </c>
      <c r="N28" s="24" t="n">
        <v>18.27</v>
      </c>
      <c r="O28" s="24" t="n">
        <v>15.47</v>
      </c>
      <c r="P28" s="24" t="n">
        <v>12.2</v>
      </c>
      <c r="Q28" s="24" t="n">
        <v>12.52</v>
      </c>
      <c r="R28" s="25" t="n">
        <v>11.32</v>
      </c>
      <c r="S28" s="24" t="n">
        <v>14.34</v>
      </c>
      <c r="T28" s="24" t="n">
        <v>14.99</v>
      </c>
      <c r="U28" s="24" t="n">
        <v>14.03</v>
      </c>
      <c r="V28" s="20" t="n">
        <f aca="false">(N28*5+O28*5+P28*5+Q28*4+R28*4+S28*3+T28*3+U28*5)/34</f>
        <v>14.2117647058824</v>
      </c>
      <c r="W28" s="21" t="n">
        <f aca="false">(L28+V28)/2</f>
        <v>14.088985801217</v>
      </c>
      <c r="X28" s="14" t="n">
        <f aca="false">COUNTIF(E28:K28,"&lt;12")+COUNTIF(N28:U28,"&lt;12")</f>
        <v>3</v>
      </c>
      <c r="Y28" s="10" t="str">
        <f aca="false">IF(OR(W28&lt;12,X28&gt;3),"Oui","Non")</f>
        <v>Non</v>
      </c>
    </row>
    <row r="29" customFormat="false" ht="18" hidden="false" customHeight="true" outlineLevel="0" collapsed="false">
      <c r="A29" s="16" t="s">
        <v>104</v>
      </c>
      <c r="B29" s="16" t="s">
        <v>105</v>
      </c>
      <c r="C29" s="16" t="s">
        <v>106</v>
      </c>
      <c r="D29" s="17" t="n">
        <v>9</v>
      </c>
      <c r="E29" s="24" t="n">
        <v>16.7</v>
      </c>
      <c r="F29" s="24" t="n">
        <v>14.97</v>
      </c>
      <c r="G29" s="24" t="n">
        <v>17.02</v>
      </c>
      <c r="H29" s="24" t="n">
        <v>13.14</v>
      </c>
      <c r="I29" s="24" t="n">
        <v>12.21</v>
      </c>
      <c r="J29" s="25" t="n">
        <v>10.13</v>
      </c>
      <c r="K29" s="24" t="n">
        <v>16.44</v>
      </c>
      <c r="L29" s="20" t="n">
        <f aca="false">(E29*5+F29*5+G29*5+H29*4+I29*4+J29*3+K29*3)/29</f>
        <v>14.64</v>
      </c>
      <c r="M29" s="17" t="n">
        <v>4</v>
      </c>
      <c r="N29" s="24" t="n">
        <v>14.85</v>
      </c>
      <c r="O29" s="24" t="n">
        <v>18.29</v>
      </c>
      <c r="P29" s="24" t="n">
        <v>15.08</v>
      </c>
      <c r="Q29" s="25" t="n">
        <v>10.86</v>
      </c>
      <c r="R29" s="24" t="n">
        <v>12.51</v>
      </c>
      <c r="S29" s="24" t="n">
        <v>14.24</v>
      </c>
      <c r="T29" s="24" t="n">
        <v>16.15</v>
      </c>
      <c r="U29" s="25" t="n">
        <v>10.86</v>
      </c>
      <c r="V29" s="20" t="n">
        <f aca="false">(N29*5+O29*5+P29*5+Q29*4+R29*4+S29*3+T29*3+U29*5)/34</f>
        <v>14.1191176470588</v>
      </c>
      <c r="W29" s="21" t="n">
        <f aca="false">(L29+V29)/2</f>
        <v>14.3795588235294</v>
      </c>
      <c r="X29" s="14" t="n">
        <f aca="false">COUNTIF(E29:K29,"&lt;12")+COUNTIF(N29:U29,"&lt;12")</f>
        <v>3</v>
      </c>
      <c r="Y29" s="10" t="str">
        <f aca="false">IF(OR(W29&lt;12,X29&gt;3),"Oui","Non")</f>
        <v>Non</v>
      </c>
    </row>
    <row r="30" customFormat="false" ht="18" hidden="false" customHeight="true" outlineLevel="0" collapsed="false">
      <c r="A30" s="23" t="s">
        <v>107</v>
      </c>
      <c r="B30" s="23" t="s">
        <v>108</v>
      </c>
      <c r="C30" s="23" t="s">
        <v>109</v>
      </c>
      <c r="D30" s="17" t="n">
        <v>12</v>
      </c>
      <c r="E30" s="24" t="n">
        <v>19.09</v>
      </c>
      <c r="F30" s="24" t="n">
        <v>17.06</v>
      </c>
      <c r="G30" s="25" t="n">
        <v>11.57</v>
      </c>
      <c r="H30" s="24" t="n">
        <v>16.88</v>
      </c>
      <c r="I30" s="24" t="n">
        <v>12.44</v>
      </c>
      <c r="J30" s="24" t="n">
        <v>13.71</v>
      </c>
      <c r="K30" s="24" t="n">
        <v>12.68</v>
      </c>
      <c r="L30" s="20" t="n">
        <f aca="false">(E30*5+F30*5+G30*5+H30*4+I30*4+J30*3+K30*3)/29</f>
        <v>15.001724137931</v>
      </c>
      <c r="M30" s="17" t="n">
        <v>8</v>
      </c>
      <c r="N30" s="24" t="n">
        <v>14.31</v>
      </c>
      <c r="O30" s="24" t="n">
        <v>17.28</v>
      </c>
      <c r="P30" s="24" t="n">
        <v>18.75</v>
      </c>
      <c r="Q30" s="25" t="n">
        <v>8.35</v>
      </c>
      <c r="R30" s="25" t="n">
        <v>9.92</v>
      </c>
      <c r="S30" s="24" t="n">
        <v>14.96</v>
      </c>
      <c r="T30" s="24" t="n">
        <v>18.05</v>
      </c>
      <c r="U30" s="24" t="n">
        <v>15.33</v>
      </c>
      <c r="V30" s="20" t="n">
        <f aca="false">(N30*5+O30*5+P30*5+Q30*4+R30*4+S30*3+T30*3+U30*5)/34</f>
        <v>14.7194117647059</v>
      </c>
      <c r="W30" s="21" t="n">
        <f aca="false">(L30+V30)/2</f>
        <v>14.8605679513185</v>
      </c>
      <c r="X30" s="14" t="n">
        <f aca="false">COUNTIF(E30:K30,"&lt;12")+COUNTIF(N30:U30,"&lt;12")</f>
        <v>3</v>
      </c>
      <c r="Y30" s="10" t="str">
        <f aca="false">IF(OR(W30&lt;12,X30&gt;3),"Oui","Non")</f>
        <v>Non</v>
      </c>
    </row>
    <row r="31" customFormat="false" ht="18" hidden="false" customHeight="true" outlineLevel="0" collapsed="false">
      <c r="A31" s="16" t="s">
        <v>110</v>
      </c>
      <c r="B31" s="16" t="s">
        <v>111</v>
      </c>
      <c r="C31" s="16" t="s">
        <v>112</v>
      </c>
      <c r="D31" s="17" t="n">
        <v>4</v>
      </c>
      <c r="E31" s="24" t="n">
        <v>18.07</v>
      </c>
      <c r="F31" s="24" t="n">
        <v>15.19</v>
      </c>
      <c r="G31" s="24" t="n">
        <v>17.42</v>
      </c>
      <c r="H31" s="24" t="n">
        <v>14.7</v>
      </c>
      <c r="I31" s="24" t="n">
        <v>18.74</v>
      </c>
      <c r="J31" s="25" t="n">
        <v>10.5</v>
      </c>
      <c r="K31" s="24" t="n">
        <v>15.63</v>
      </c>
      <c r="L31" s="20" t="n">
        <f aca="false">(E31*5+F31*5+G31*5+H31*4+I31*4+J31*3+K31*3)/29</f>
        <v>16.0534482758621</v>
      </c>
      <c r="M31" s="17" t="n">
        <v>14</v>
      </c>
      <c r="N31" s="24" t="n">
        <v>18.88</v>
      </c>
      <c r="O31" s="24" t="n">
        <v>17.69</v>
      </c>
      <c r="P31" s="25" t="n">
        <v>8.24</v>
      </c>
      <c r="Q31" s="24" t="n">
        <v>15.57</v>
      </c>
      <c r="R31" s="24" t="n">
        <v>13.81</v>
      </c>
      <c r="S31" s="24" t="n">
        <v>19.22</v>
      </c>
      <c r="T31" s="25" t="n">
        <v>11.48</v>
      </c>
      <c r="U31" s="24" t="n">
        <v>13.78</v>
      </c>
      <c r="V31" s="20" t="n">
        <f aca="false">(N31*5+O31*5+P31*5+Q31*4+R31*4+S31*3+T31*3+U31*5)/34</f>
        <v>14.7814705882353</v>
      </c>
      <c r="W31" s="21" t="n">
        <f aca="false">(L31+V31)/2</f>
        <v>15.4174594320487</v>
      </c>
      <c r="X31" s="14" t="n">
        <f aca="false">COUNTIF(E31:K31,"&lt;12")+COUNTIF(N31:U31,"&lt;12")</f>
        <v>3</v>
      </c>
      <c r="Y31" s="10" t="str">
        <f aca="false">IF(OR(W31&lt;12,X31&gt;3),"Oui","Non")</f>
        <v>Non</v>
      </c>
    </row>
    <row r="32" customFormat="false" ht="18" hidden="false" customHeight="true" outlineLevel="0" collapsed="false">
      <c r="A32" s="23" t="s">
        <v>113</v>
      </c>
      <c r="B32" s="23" t="s">
        <v>114</v>
      </c>
      <c r="C32" s="23" t="s">
        <v>115</v>
      </c>
      <c r="D32" s="17" t="n">
        <v>8</v>
      </c>
      <c r="E32" s="24" t="n">
        <v>17.73</v>
      </c>
      <c r="F32" s="24" t="n">
        <v>12.96</v>
      </c>
      <c r="G32" s="24" t="n">
        <v>12.38</v>
      </c>
      <c r="H32" s="25" t="n">
        <v>10.13</v>
      </c>
      <c r="I32" s="25" t="n">
        <v>9.18</v>
      </c>
      <c r="J32" s="24" t="n">
        <v>15.26</v>
      </c>
      <c r="K32" s="24" t="n">
        <v>14.1</v>
      </c>
      <c r="L32" s="20" t="n">
        <f aca="false">(E32*5+F32*5+G32*5+H32*4+I32*4+J32*3+K32*3)/29</f>
        <v>13.1265517241379</v>
      </c>
      <c r="M32" s="17" t="n">
        <v>7</v>
      </c>
      <c r="N32" s="24" t="n">
        <v>14.36</v>
      </c>
      <c r="O32" s="24" t="n">
        <v>14.72</v>
      </c>
      <c r="P32" s="25" t="n">
        <v>10.32</v>
      </c>
      <c r="Q32" s="24" t="n">
        <v>14.11</v>
      </c>
      <c r="R32" s="24" t="n">
        <v>12.26</v>
      </c>
      <c r="S32" s="24" t="n">
        <v>13.47</v>
      </c>
      <c r="T32" s="24" t="n">
        <v>12.26</v>
      </c>
      <c r="U32" s="24" t="n">
        <v>14.26</v>
      </c>
      <c r="V32" s="20" t="n">
        <f aca="false">(N32*5+O32*5+P32*5+Q32*4+R32*4+S32*3+T32*3+U32*5)/34</f>
        <v>13.2638235294118</v>
      </c>
      <c r="W32" s="21" t="n">
        <f aca="false">(L32+V32)/2</f>
        <v>13.1951876267749</v>
      </c>
      <c r="X32" s="14" t="n">
        <f aca="false">COUNTIF(E32:K32,"&lt;12")+COUNTIF(N32:U32,"&lt;12")</f>
        <v>3</v>
      </c>
      <c r="Y32" s="10" t="str">
        <f aca="false">IF(OR(W32&lt;12,X32&gt;3),"Oui","Non")</f>
        <v>Non</v>
      </c>
    </row>
    <row r="33" customFormat="false" ht="18" hidden="false" customHeight="true" outlineLevel="0" collapsed="false">
      <c r="A33" s="16" t="s">
        <v>116</v>
      </c>
      <c r="B33" s="16" t="s">
        <v>117</v>
      </c>
      <c r="C33" s="16" t="s">
        <v>118</v>
      </c>
      <c r="D33" s="17" t="n">
        <v>19</v>
      </c>
      <c r="E33" s="25" t="n">
        <v>8.85</v>
      </c>
      <c r="F33" s="25" t="n">
        <v>8.58</v>
      </c>
      <c r="G33" s="24" t="n">
        <v>14.8</v>
      </c>
      <c r="H33" s="24" t="n">
        <v>14.32</v>
      </c>
      <c r="I33" s="24" t="n">
        <v>15.9</v>
      </c>
      <c r="J33" s="25" t="n">
        <v>11.76</v>
      </c>
      <c r="K33" s="24" t="n">
        <v>14.47</v>
      </c>
      <c r="L33" s="20" t="n">
        <f aca="false">(E33*5+F33*5+G33*5+H33*4+I33*4+J33*3+K33*3)/29</f>
        <v>12.4386206896552</v>
      </c>
      <c r="M33" s="17" t="n">
        <v>16</v>
      </c>
      <c r="N33" s="24" t="n">
        <v>14.57</v>
      </c>
      <c r="O33" s="24" t="n">
        <v>12.37</v>
      </c>
      <c r="P33" s="24" t="n">
        <v>15.77</v>
      </c>
      <c r="Q33" s="24" t="n">
        <v>17.66</v>
      </c>
      <c r="R33" s="24" t="n">
        <v>15.14</v>
      </c>
      <c r="S33" s="24" t="n">
        <v>16.61</v>
      </c>
      <c r="T33" s="24" t="n">
        <v>16.01</v>
      </c>
      <c r="U33" s="24" t="n">
        <v>12.04</v>
      </c>
      <c r="V33" s="20" t="n">
        <f aca="false">(N33*5+O33*5+P33*5+Q33*4+R33*4+S33*3+T33*3+U33*5)/34</f>
        <v>14.7885294117647</v>
      </c>
      <c r="W33" s="21" t="n">
        <f aca="false">(L33+V33)/2</f>
        <v>13.6135750507099</v>
      </c>
      <c r="X33" s="14" t="n">
        <f aca="false">COUNTIF(E33:K33,"&lt;12")+COUNTIF(N33:U33,"&lt;12")</f>
        <v>3</v>
      </c>
      <c r="Y33" s="10" t="str">
        <f aca="false">IF(OR(W33&lt;12,X33&gt;3),"Oui","Non")</f>
        <v>Non</v>
      </c>
    </row>
    <row r="34" customFormat="false" ht="18" hidden="false" customHeight="true" outlineLevel="0" collapsed="false">
      <c r="A34" s="23" t="s">
        <v>119</v>
      </c>
      <c r="B34" s="23" t="s">
        <v>120</v>
      </c>
      <c r="C34" s="23" t="s">
        <v>121</v>
      </c>
      <c r="D34" s="17" t="n">
        <v>17</v>
      </c>
      <c r="E34" s="24" t="n">
        <v>14.02</v>
      </c>
      <c r="F34" s="24" t="n">
        <v>15.38</v>
      </c>
      <c r="G34" s="24" t="n">
        <v>12.14</v>
      </c>
      <c r="H34" s="24" t="n">
        <v>17.92</v>
      </c>
      <c r="I34" s="24" t="n">
        <v>18.76</v>
      </c>
      <c r="J34" s="24" t="n">
        <v>12.29</v>
      </c>
      <c r="K34" s="24" t="n">
        <v>18.45</v>
      </c>
      <c r="L34" s="20" t="n">
        <f aca="false">(E34*5+F34*5+G34*5+H34*4+I34*4+J34*3+K34*3)/29</f>
        <v>15.4013793103448</v>
      </c>
      <c r="M34" s="17" t="n">
        <v>9</v>
      </c>
      <c r="N34" s="24" t="n">
        <v>14.51</v>
      </c>
      <c r="O34" s="25" t="n">
        <v>11.4</v>
      </c>
      <c r="P34" s="24" t="n">
        <v>14.22</v>
      </c>
      <c r="Q34" s="25" t="n">
        <v>9.66</v>
      </c>
      <c r="R34" s="24" t="n">
        <v>15.21</v>
      </c>
      <c r="S34" s="25" t="n">
        <v>9.8</v>
      </c>
      <c r="T34" s="24" t="n">
        <v>14.55</v>
      </c>
      <c r="U34" s="24" t="n">
        <v>18.03</v>
      </c>
      <c r="V34" s="20" t="n">
        <f aca="false">(N34*5+O34*5+P34*5+Q34*4+R34*4+S34*3+T34*3+U34*5)/34</f>
        <v>13.6273529411765</v>
      </c>
      <c r="W34" s="21" t="n">
        <f aca="false">(L34+V34)/2</f>
        <v>14.5143661257606</v>
      </c>
      <c r="X34" s="14" t="n">
        <f aca="false">COUNTIF(E34:K34,"&lt;12")+COUNTIF(N34:U34,"&lt;12")</f>
        <v>3</v>
      </c>
      <c r="Y34" s="10" t="str">
        <f aca="false">IF(OR(W34&lt;12,X34&gt;3),"Oui","Non")</f>
        <v>Non</v>
      </c>
    </row>
    <row r="35" customFormat="false" ht="18" hidden="false" customHeight="true" outlineLevel="0" collapsed="false">
      <c r="A35" s="16" t="s">
        <v>122</v>
      </c>
      <c r="B35" s="16" t="s">
        <v>123</v>
      </c>
      <c r="C35" s="16" t="s">
        <v>124</v>
      </c>
      <c r="D35" s="17" t="n">
        <v>2</v>
      </c>
      <c r="E35" s="24" t="n">
        <v>13.77</v>
      </c>
      <c r="F35" s="24" t="n">
        <v>14.91</v>
      </c>
      <c r="G35" s="24" t="n">
        <v>14.75</v>
      </c>
      <c r="H35" s="24" t="n">
        <v>16.33</v>
      </c>
      <c r="I35" s="25" t="n">
        <v>9.69</v>
      </c>
      <c r="J35" s="24" t="n">
        <v>12.25</v>
      </c>
      <c r="K35" s="25" t="n">
        <v>11.26</v>
      </c>
      <c r="L35" s="20" t="n">
        <f aca="false">(E35*5+F35*5+G35*5+H35*4+I35*4+J35*3+K35*3)/29</f>
        <v>13.5089655172414</v>
      </c>
      <c r="M35" s="17" t="n">
        <v>10</v>
      </c>
      <c r="N35" s="24" t="n">
        <v>16.71</v>
      </c>
      <c r="O35" s="24" t="n">
        <v>14.09</v>
      </c>
      <c r="P35" s="24" t="n">
        <v>14.28</v>
      </c>
      <c r="Q35" s="24" t="n">
        <v>14.78</v>
      </c>
      <c r="R35" s="25" t="n">
        <v>8.97</v>
      </c>
      <c r="S35" s="24" t="n">
        <v>14.72</v>
      </c>
      <c r="T35" s="24" t="n">
        <v>15.42</v>
      </c>
      <c r="U35" s="24" t="n">
        <v>12.58</v>
      </c>
      <c r="V35" s="20" t="n">
        <f aca="false">(N35*5+O35*5+P35*5+Q35*4+R35*4+S35*3+T35*3+U35*5)/34</f>
        <v>13.9329411764706</v>
      </c>
      <c r="W35" s="21" t="n">
        <f aca="false">(L35+V35)/2</f>
        <v>13.720953346856</v>
      </c>
      <c r="X35" s="14" t="n">
        <f aca="false">COUNTIF(E35:K35,"&lt;12")+COUNTIF(N35:U35,"&lt;12")</f>
        <v>3</v>
      </c>
      <c r="Y35" s="10" t="str">
        <f aca="false">IF(OR(W35&lt;12,X35&gt;3),"Oui","Non")</f>
        <v>Non</v>
      </c>
    </row>
    <row r="36" customFormat="false" ht="18" hidden="false" customHeight="true" outlineLevel="0" collapsed="false">
      <c r="A36" s="23" t="s">
        <v>125</v>
      </c>
      <c r="B36" s="23" t="s">
        <v>126</v>
      </c>
      <c r="C36" s="23" t="s">
        <v>127</v>
      </c>
      <c r="D36" s="17" t="n">
        <v>10</v>
      </c>
      <c r="E36" s="25" t="n">
        <v>8.5</v>
      </c>
      <c r="F36" s="24" t="n">
        <v>13.22</v>
      </c>
      <c r="G36" s="24" t="n">
        <v>12.38</v>
      </c>
      <c r="H36" s="25" t="n">
        <v>8.61</v>
      </c>
      <c r="I36" s="24" t="n">
        <v>13.66</v>
      </c>
      <c r="J36" s="25" t="n">
        <v>9.88</v>
      </c>
      <c r="K36" s="24" t="n">
        <v>13.98</v>
      </c>
      <c r="L36" s="20" t="n">
        <f aca="false">(E36*5+F36*5+G36*5+H36*4+I36*4+J36*3+K36*3)/29</f>
        <v>11.4193103448276</v>
      </c>
      <c r="M36" s="17" t="n">
        <v>11</v>
      </c>
      <c r="N36" s="24" t="n">
        <v>14.31</v>
      </c>
      <c r="O36" s="24" t="n">
        <v>17.77</v>
      </c>
      <c r="P36" s="24" t="n">
        <v>13.5</v>
      </c>
      <c r="Q36" s="24" t="n">
        <v>12.28</v>
      </c>
      <c r="R36" s="24" t="n">
        <v>18.51</v>
      </c>
      <c r="S36" s="24" t="n">
        <v>17.78</v>
      </c>
      <c r="T36" s="24" t="n">
        <v>14.2</v>
      </c>
      <c r="U36" s="24" t="n">
        <v>15.45</v>
      </c>
      <c r="V36" s="20" t="n">
        <f aca="false">(N36*5+O36*5+P36*5+Q36*4+R36*4+S36*3+T36*3+U36*5)/34</f>
        <v>15.4191176470588</v>
      </c>
      <c r="W36" s="21" t="n">
        <f aca="false">(L36+V36)/2</f>
        <v>13.4192139959432</v>
      </c>
      <c r="X36" s="14" t="n">
        <f aca="false">COUNTIF(E36:K36,"&lt;12")+COUNTIF(N36:U36,"&lt;12")</f>
        <v>3</v>
      </c>
      <c r="Y36" s="10" t="str">
        <f aca="false">IF(OR(W36&lt;12,X36&gt;3),"Oui","Non")</f>
        <v>Non</v>
      </c>
    </row>
    <row r="37" customFormat="false" ht="18" hidden="false" customHeight="true" outlineLevel="0" collapsed="false">
      <c r="A37" s="16" t="s">
        <v>128</v>
      </c>
      <c r="B37" s="16" t="s">
        <v>129</v>
      </c>
      <c r="C37" s="16" t="s">
        <v>130</v>
      </c>
      <c r="D37" s="17" t="n">
        <v>20</v>
      </c>
      <c r="E37" s="25" t="n">
        <v>7.61</v>
      </c>
      <c r="F37" s="24" t="n">
        <v>13.37</v>
      </c>
      <c r="G37" s="24" t="n">
        <v>18.32</v>
      </c>
      <c r="H37" s="24" t="n">
        <v>12.54</v>
      </c>
      <c r="I37" s="24" t="n">
        <v>16.09</v>
      </c>
      <c r="J37" s="24" t="n">
        <v>17.24</v>
      </c>
      <c r="K37" s="24" t="n">
        <v>17.19</v>
      </c>
      <c r="L37" s="20" t="n">
        <f aca="false">(E37*5+F37*5+G37*5+H37*4+I37*4+J37*3+K37*3)/29</f>
        <v>14.2865517241379</v>
      </c>
      <c r="M37" s="17" t="n">
        <v>4</v>
      </c>
      <c r="N37" s="24" t="n">
        <v>15.7</v>
      </c>
      <c r="O37" s="25" t="n">
        <v>7.85</v>
      </c>
      <c r="P37" s="25" t="n">
        <v>7.53</v>
      </c>
      <c r="Q37" s="24" t="n">
        <v>16.49</v>
      </c>
      <c r="R37" s="25" t="n">
        <v>10.52</v>
      </c>
      <c r="S37" s="24" t="n">
        <v>18.89</v>
      </c>
      <c r="T37" s="24" t="n">
        <v>14.85</v>
      </c>
      <c r="U37" s="24" t="n">
        <v>14.41</v>
      </c>
      <c r="V37" s="20" t="n">
        <f aca="false">(N37*5+O37*5+P37*5+Q37*4+R37*4+S37*3+T37*3+U37*5)/34</f>
        <v>12.8444117647059</v>
      </c>
      <c r="W37" s="21" t="n">
        <f aca="false">(L37+V37)/2</f>
        <v>13.5654817444219</v>
      </c>
      <c r="X37" s="14" t="n">
        <f aca="false">COUNTIF(E37:K37,"&lt;12")+COUNTIF(N37:U37,"&lt;12")</f>
        <v>4</v>
      </c>
      <c r="Y37" s="10" t="str">
        <f aca="false">IF(OR(W37&lt;12,X37&gt;3),"Oui","Non")</f>
        <v>Oui</v>
      </c>
    </row>
    <row r="38" customFormat="false" ht="18" hidden="false" customHeight="true" outlineLevel="0" collapsed="false">
      <c r="A38" s="23" t="s">
        <v>131</v>
      </c>
      <c r="B38" s="23" t="s">
        <v>132</v>
      </c>
      <c r="C38" s="23" t="s">
        <v>133</v>
      </c>
      <c r="D38" s="17" t="n">
        <v>9</v>
      </c>
      <c r="E38" s="25" t="n">
        <v>9.4</v>
      </c>
      <c r="F38" s="24" t="n">
        <v>17.8</v>
      </c>
      <c r="G38" s="24" t="n">
        <v>17.69</v>
      </c>
      <c r="H38" s="24" t="n">
        <v>14.69</v>
      </c>
      <c r="I38" s="24" t="n">
        <v>13.34</v>
      </c>
      <c r="J38" s="24" t="n">
        <v>12.78</v>
      </c>
      <c r="K38" s="24" t="n">
        <v>13.93</v>
      </c>
      <c r="L38" s="20" t="n">
        <f aca="false">(E38*5+F38*5+G38*5+H38*4+I38*4+J38*3+K38*3)/29</f>
        <v>14.3689655172414</v>
      </c>
      <c r="M38" s="17" t="n">
        <v>1</v>
      </c>
      <c r="N38" s="24" t="n">
        <v>12.62</v>
      </c>
      <c r="O38" s="24" t="n">
        <v>17.12</v>
      </c>
      <c r="P38" s="24" t="n">
        <v>15.15</v>
      </c>
      <c r="Q38" s="24" t="n">
        <v>13.12</v>
      </c>
      <c r="R38" s="24" t="n">
        <v>12.95</v>
      </c>
      <c r="S38" s="25" t="n">
        <v>11.04</v>
      </c>
      <c r="T38" s="25" t="n">
        <v>9.06</v>
      </c>
      <c r="U38" s="25" t="n">
        <v>8.04</v>
      </c>
      <c r="V38" s="20" t="n">
        <f aca="false">(N38*5+O38*5+P38*5+Q38*4+R38*4+S38*3+T38*3+U38*5)/34</f>
        <v>12.6244117647059</v>
      </c>
      <c r="W38" s="21" t="n">
        <f aca="false">(L38+V38)/2</f>
        <v>13.4966886409736</v>
      </c>
      <c r="X38" s="14" t="n">
        <f aca="false">COUNTIF(E38:K38,"&lt;12")+COUNTIF(N38:U38,"&lt;12")</f>
        <v>4</v>
      </c>
      <c r="Y38" s="10" t="str">
        <f aca="false">IF(OR(W38&lt;12,X38&gt;3),"Oui","Non")</f>
        <v>Oui</v>
      </c>
    </row>
    <row r="39" customFormat="false" ht="18" hidden="false" customHeight="true" outlineLevel="0" collapsed="false">
      <c r="A39" s="16" t="s">
        <v>134</v>
      </c>
      <c r="B39" s="16" t="s">
        <v>135</v>
      </c>
      <c r="C39" s="16" t="s">
        <v>136</v>
      </c>
      <c r="D39" s="17" t="n">
        <v>9</v>
      </c>
      <c r="E39" s="25" t="n">
        <v>8.16</v>
      </c>
      <c r="F39" s="24" t="n">
        <v>17.64</v>
      </c>
      <c r="G39" s="24" t="n">
        <v>19.06</v>
      </c>
      <c r="H39" s="24" t="n">
        <v>14.53</v>
      </c>
      <c r="I39" s="25" t="n">
        <v>7.84</v>
      </c>
      <c r="J39" s="25" t="n">
        <v>10.59</v>
      </c>
      <c r="K39" s="24" t="n">
        <v>15.3</v>
      </c>
      <c r="L39" s="20" t="n">
        <f aca="false">(E39*5+F39*5+G39*5+H39*4+I39*4+J39*3+K39*3)/29</f>
        <v>13.498275862069</v>
      </c>
      <c r="M39" s="17" t="n">
        <v>9</v>
      </c>
      <c r="N39" s="24" t="n">
        <v>19.1</v>
      </c>
      <c r="O39" s="24" t="n">
        <v>15.73</v>
      </c>
      <c r="P39" s="24" t="n">
        <v>13.01</v>
      </c>
      <c r="Q39" s="24" t="n">
        <v>14.44</v>
      </c>
      <c r="R39" s="24" t="n">
        <v>18.73</v>
      </c>
      <c r="S39" s="25" t="n">
        <v>7.6</v>
      </c>
      <c r="T39" s="24" t="n">
        <v>15.84</v>
      </c>
      <c r="U39" s="24" t="n">
        <v>17.52</v>
      </c>
      <c r="V39" s="20" t="n">
        <f aca="false">(N39*5+O39*5+P39*5+Q39*4+R39*4+S39*3+T39*3+U39*5)/34</f>
        <v>15.5823529411765</v>
      </c>
      <c r="W39" s="21" t="n">
        <f aca="false">(L39+V39)/2</f>
        <v>14.5403144016227</v>
      </c>
      <c r="X39" s="14" t="n">
        <f aca="false">COUNTIF(E39:K39,"&lt;12")+COUNTIF(N39:U39,"&lt;12")</f>
        <v>4</v>
      </c>
      <c r="Y39" s="10" t="str">
        <f aca="false">IF(OR(W39&lt;12,X39&gt;3),"Oui","Non")</f>
        <v>Oui</v>
      </c>
    </row>
  </sheetData>
  <mergeCells count="5">
    <mergeCell ref="A1:Z1"/>
    <mergeCell ref="A2:C2"/>
    <mergeCell ref="D2:M2"/>
    <mergeCell ref="N2:W2"/>
    <mergeCell ref="A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2026-02-24T17:04:34Z</dcterms:created>
  <dc:creator>openpyxl</dc:creator>
  <dc:description/>
  <dc:language>en-US</dc:language>
  <cp:lastModifiedBy/>
  <dcterms:modified xsi:type="dcterms:W3CDTF">2026-02-24T17:16:24Z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