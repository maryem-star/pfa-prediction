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ère Année" sheetId="1" state="visible" r:id="rId3"/>
    <sheet name="2ème Anné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<sst xmlns="http://schemas.openxmlformats.org/spreadsheetml/2006/main" count="333" uniqueCount="161">
  <si>
    <t xml:space="preserve">DÉPARTEMENT GÉNIE INDUSTRIEL — PREMIÈRE ANNÉE</t>
  </si>
  <si>
    <t xml:space="preserve">Informations Générales</t>
  </si>
  <si>
    <t xml:space="preserve">SEMESTRE 1</t>
  </si>
  <si>
    <t xml:space="preserve">SEMESTRE 2</t>
  </si>
  <si>
    <t xml:space="preserve">Coef 5</t>
  </si>
  <si>
    <t xml:space="preserve">Coef 4</t>
  </si>
  <si>
    <t xml:space="preserve">Coef 3</t>
  </si>
  <si>
    <t xml:space="preserve">CNE</t>
  </si>
  <si>
    <t xml:space="preserve">Nom</t>
  </si>
  <si>
    <t xml:space="preserve">Prénom</t>
  </si>
  <si>
    <t xml:space="preserve">Absences S1</t>
  </si>
  <si>
    <t xml:space="preserve">Mathématiques 1</t>
  </si>
  <si>
    <t xml:space="preserve">Physique 1</t>
  </si>
  <si>
    <t xml:space="preserve">Informatique Industrielle</t>
  </si>
  <si>
    <t xml:space="preserve">Mécanique Générale</t>
  </si>
  <si>
    <t xml:space="preserve">Résistance des Matériaux 1</t>
  </si>
  <si>
    <t xml:space="preserve">Anglais Technique 1</t>
  </si>
  <si>
    <t xml:space="preserve">Français Professionnel 1</t>
  </si>
  <si>
    <t xml:space="preserve">Moyenne
SEMESTRE 1</t>
  </si>
  <si>
    <t xml:space="preserve">Absences S2</t>
  </si>
  <si>
    <t xml:space="preserve">Mathématiques 2</t>
  </si>
  <si>
    <t xml:space="preserve">Physique 2</t>
  </si>
  <si>
    <t xml:space="preserve">Électronique Industrielle</t>
  </si>
  <si>
    <t xml:space="preserve">Thermodynamique</t>
  </si>
  <si>
    <t xml:space="preserve">Matériaux Industriels</t>
  </si>
  <si>
    <t xml:space="preserve">Anglais Technique 2</t>
  </si>
  <si>
    <t xml:space="preserve">Français Professionnel 2</t>
  </si>
  <si>
    <t xml:space="preserve">PFA 2</t>
  </si>
  <si>
    <t xml:space="preserve">Moyenne
SEMESTRE 2</t>
  </si>
  <si>
    <t xml:space="preserve">Moyenne
Annuelle
1ère Année</t>
  </si>
  <si>
    <t xml:space="preserve">Modules
Non Validés</t>
  </si>
  <si>
    <t xml:space="preserve">Redoublant</t>
  </si>
  <si>
    <t xml:space="preserve">F305779</t>
  </si>
  <si>
    <t xml:space="preserve">Amrani</t>
  </si>
  <si>
    <t xml:space="preserve">Hicham</t>
  </si>
  <si>
    <t xml:space="preserve">Non</t>
  </si>
  <si>
    <t xml:space="preserve">H875286</t>
  </si>
  <si>
    <t xml:space="preserve">Bouzidi</t>
  </si>
  <si>
    <t xml:space="preserve">Nadia</t>
  </si>
  <si>
    <t xml:space="preserve">B982106</t>
  </si>
  <si>
    <t xml:space="preserve">Chakir</t>
  </si>
  <si>
    <t xml:space="preserve">Youssef</t>
  </si>
  <si>
    <t xml:space="preserve">F883429</t>
  </si>
  <si>
    <t xml:space="preserve">Drissi</t>
  </si>
  <si>
    <t xml:space="preserve">Lamia</t>
  </si>
  <si>
    <t xml:space="preserve">H416604</t>
  </si>
  <si>
    <t xml:space="preserve">El Fassi</t>
  </si>
  <si>
    <t xml:space="preserve">Omar</t>
  </si>
  <si>
    <t xml:space="preserve">F468704</t>
  </si>
  <si>
    <t xml:space="preserve">Fennich</t>
  </si>
  <si>
    <t xml:space="preserve">Sara</t>
  </si>
  <si>
    <t xml:space="preserve">G666840</t>
  </si>
  <si>
    <t xml:space="preserve">Gharbaoui</t>
  </si>
  <si>
    <t xml:space="preserve">Karim</t>
  </si>
  <si>
    <t xml:space="preserve">M506743</t>
  </si>
  <si>
    <t xml:space="preserve">Hajjami</t>
  </si>
  <si>
    <t xml:space="preserve">Rim</t>
  </si>
  <si>
    <t xml:space="preserve">N525448</t>
  </si>
  <si>
    <t xml:space="preserve">Idali</t>
  </si>
  <si>
    <t xml:space="preserve">Mehdi</t>
  </si>
  <si>
    <t xml:space="preserve">T854026</t>
  </si>
  <si>
    <t xml:space="preserve">Jalal</t>
  </si>
  <si>
    <t xml:space="preserve">Soukaina</t>
  </si>
  <si>
    <t xml:space="preserve">M660145</t>
  </si>
  <si>
    <t xml:space="preserve">Karimi</t>
  </si>
  <si>
    <t xml:space="preserve">Anas</t>
  </si>
  <si>
    <t xml:space="preserve">K763243</t>
  </si>
  <si>
    <t xml:space="preserve">Lahrichi</t>
  </si>
  <si>
    <t xml:space="preserve">Dounia</t>
  </si>
  <si>
    <t xml:space="preserve">B143018</t>
  </si>
  <si>
    <t xml:space="preserve">Mansouri</t>
  </si>
  <si>
    <t xml:space="preserve">Tarik</t>
  </si>
  <si>
    <t xml:space="preserve">R637876</t>
  </si>
  <si>
    <t xml:space="preserve">Nakhli</t>
  </si>
  <si>
    <t xml:space="preserve">Houda</t>
  </si>
  <si>
    <t xml:space="preserve">K698053</t>
  </si>
  <si>
    <t xml:space="preserve">Oukili</t>
  </si>
  <si>
    <t xml:space="preserve">Bilal</t>
  </si>
  <si>
    <t xml:space="preserve">G978608</t>
  </si>
  <si>
    <t xml:space="preserve">Qarqouri</t>
  </si>
  <si>
    <t xml:space="preserve">Hafsa</t>
  </si>
  <si>
    <t xml:space="preserve">R155035</t>
  </si>
  <si>
    <t xml:space="preserve">Rachidi</t>
  </si>
  <si>
    <t xml:space="preserve">Adil</t>
  </si>
  <si>
    <t xml:space="preserve">M342986</t>
  </si>
  <si>
    <t xml:space="preserve">Sabir</t>
  </si>
  <si>
    <t xml:space="preserve">Meryem</t>
  </si>
  <si>
    <t xml:space="preserve">F626354</t>
  </si>
  <si>
    <t xml:space="preserve">Taoufiq</t>
  </si>
  <si>
    <t xml:space="preserve">Zakaria</t>
  </si>
  <si>
    <t xml:space="preserve">M304565</t>
  </si>
  <si>
    <t xml:space="preserve">Uchich</t>
  </si>
  <si>
    <t xml:space="preserve">Latifa</t>
  </si>
  <si>
    <t xml:space="preserve">R901764</t>
  </si>
  <si>
    <t xml:space="preserve">Vidal</t>
  </si>
  <si>
    <t xml:space="preserve">Hamza</t>
  </si>
  <si>
    <t xml:space="preserve">R530335</t>
  </si>
  <si>
    <t xml:space="preserve">Wahbi</t>
  </si>
  <si>
    <t xml:space="preserve">Imane</t>
  </si>
  <si>
    <t xml:space="preserve">H420511</t>
  </si>
  <si>
    <t xml:space="preserve">Xouri</t>
  </si>
  <si>
    <t xml:space="preserve">Driss</t>
  </si>
  <si>
    <t xml:space="preserve">T969745</t>
  </si>
  <si>
    <t xml:space="preserve">Yahyaoui</t>
  </si>
  <si>
    <t xml:space="preserve">Ghita</t>
  </si>
  <si>
    <t xml:space="preserve">K212332</t>
  </si>
  <si>
    <t xml:space="preserve">Zaidane</t>
  </si>
  <si>
    <t xml:space="preserve">Saad</t>
  </si>
  <si>
    <t xml:space="preserve">M425608</t>
  </si>
  <si>
    <t xml:space="preserve">Abidi</t>
  </si>
  <si>
    <t xml:space="preserve">Loubna</t>
  </si>
  <si>
    <t xml:space="preserve">T479892</t>
  </si>
  <si>
    <t xml:space="preserve">Benkiran</t>
  </si>
  <si>
    <t xml:space="preserve">Ayoub</t>
  </si>
  <si>
    <t xml:space="preserve">P312942</t>
  </si>
  <si>
    <t xml:space="preserve">Chraibi</t>
  </si>
  <si>
    <t xml:space="preserve">Sanae</t>
  </si>
  <si>
    <t xml:space="preserve">R590719</t>
  </si>
  <si>
    <t xml:space="preserve">Daoui</t>
  </si>
  <si>
    <t xml:space="preserve">Khalid</t>
  </si>
  <si>
    <t xml:space="preserve">H983189</t>
  </si>
  <si>
    <t xml:space="preserve">Essafi</t>
  </si>
  <si>
    <t xml:space="preserve">Widad</t>
  </si>
  <si>
    <t xml:space="preserve">H331805</t>
  </si>
  <si>
    <t xml:space="preserve">Fathi</t>
  </si>
  <si>
    <t xml:space="preserve">Othmane</t>
  </si>
  <si>
    <t xml:space="preserve">B680936</t>
  </si>
  <si>
    <t xml:space="preserve">Ghanem</t>
  </si>
  <si>
    <t xml:space="preserve">Basma</t>
  </si>
  <si>
    <t xml:space="preserve">H561608</t>
  </si>
  <si>
    <t xml:space="preserve">Hamdi</t>
  </si>
  <si>
    <t xml:space="preserve">Reda</t>
  </si>
  <si>
    <t xml:space="preserve">R416396</t>
  </si>
  <si>
    <t xml:space="preserve">Iraki</t>
  </si>
  <si>
    <t xml:space="preserve">Fatima</t>
  </si>
  <si>
    <t xml:space="preserve">H967467</t>
  </si>
  <si>
    <t xml:space="preserve">Jabri</t>
  </si>
  <si>
    <t xml:space="preserve">Noureddine</t>
  </si>
  <si>
    <t xml:space="preserve">DÉPARTEMENT GÉNIE INDUSTRIEL — DEUXIÈME ANNÉE</t>
  </si>
  <si>
    <t xml:space="preserve">SEMESTRE 3</t>
  </si>
  <si>
    <t xml:space="preserve">SEMESTRE 4</t>
  </si>
  <si>
    <t xml:space="preserve">Absences S3</t>
  </si>
  <si>
    <t xml:space="preserve">Automatique 1</t>
  </si>
  <si>
    <t xml:space="preserve">Électrotechnique</t>
  </si>
  <si>
    <t xml:space="preserve">Mathématiques 3</t>
  </si>
  <si>
    <t xml:space="preserve">Procédés de Fabrication</t>
  </si>
  <si>
    <t xml:space="preserve">Résistance des Matériaux 2</t>
  </si>
  <si>
    <t xml:space="preserve">Anglais Technique 3</t>
  </si>
  <si>
    <t xml:space="preserve">Français Professionnel 3</t>
  </si>
  <si>
    <t xml:space="preserve">Moyenne
SEMESTRE 3</t>
  </si>
  <si>
    <t xml:space="preserve">Absences S4</t>
  </si>
  <si>
    <t xml:space="preserve">Automatique 2</t>
  </si>
  <si>
    <t xml:space="preserve">Gestion de Production</t>
  </si>
  <si>
    <t xml:space="preserve">Mathématiques 4</t>
  </si>
  <si>
    <t xml:space="preserve">Maintenance Industrielle</t>
  </si>
  <si>
    <t xml:space="preserve">Métrologie</t>
  </si>
  <si>
    <t xml:space="preserve">Anglais Technique 4</t>
  </si>
  <si>
    <t xml:space="preserve">Français Professionnel 4</t>
  </si>
  <si>
    <t xml:space="preserve">PFA 4</t>
  </si>
  <si>
    <t xml:space="preserve">Moyenne
SEMESTRE 4</t>
  </si>
  <si>
    <t xml:space="preserve">Moyenne
Annuelle
2ème Année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</si>
</sst>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888888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75B6"/>
        <bgColor rgb="FF0066CC"/>
      </patternFill>
    </fill>
    <fill>
      <patternFill patternType="solid">
        <fgColor rgb="FFF2F2F2"/>
        <bgColor rgb="FFF0F0F0"/>
      </patternFill>
    </fill>
    <fill>
      <patternFill patternType="solid">
        <fgColor rgb="FFF0F0F0"/>
        <bgColor rgb="FFF2F2F2"/>
      </patternFill>
    </fill>
    <fill>
      <patternFill patternType="solid">
        <fgColor rgb="FFE2EFDA"/>
        <bgColor rgb="FFF0F0F0"/>
      </patternFill>
    </fill>
    <fill>
      <patternFill patternType="solid">
        <fgColor rgb="FFFFF2CC"/>
        <bgColor rgb="FFFCE4D6"/>
      </patternFill>
    </fill>
    <fill>
      <patternFill patternType="solid">
        <fgColor rgb="FFEBF3FB"/>
        <bgColor rgb="FFF2F2F2"/>
      </patternFill>
    </fill>
    <fill>
      <patternFill patternType="solid">
        <fgColor rgb="FFF4CCFF"/>
        <bgColor rgb="FFFFCCCC"/>
      </patternFill>
    </fill>
    <fill>
      <patternFill patternType="solid">
        <fgColor rgb="FFFF9900"/>
        <bgColor rgb="FFFF6600"/>
      </patternFill>
    </fill>
    <fill>
      <patternFill patternType="solid">
        <fgColor rgb="FFFCE4D6"/>
        <bgColor rgb="FFFFF2CC"/>
      </patternFill>
    </fill>
    <fill>
      <patternFill patternType="solid">
        <fgColor rgb="FFC00000"/>
        <bgColor rgb="FF800000"/>
      </patternFill>
    </fill>
    <fill>
      <patternFill patternType="solid">
        <fgColor rgb="FFFFFFFF"/>
        <bgColor rgb="FFF7FBFF"/>
      </patternFill>
    </fill>
    <fill>
      <patternFill patternType="solid">
        <fgColor rgb="FFFFCCCC"/>
        <bgColor rgb="FFF4CCFF"/>
      </patternFill>
    </fill>
    <fill>
      <patternFill patternType="solid">
        <fgColor rgb="FFC6EFCE"/>
        <bgColor rgb="FFE2EFDA"/>
      </patternFill>
    </fill>
    <fill>
      <patternFill patternType="solid">
        <fgColor rgb="FFFFD700"/>
        <bgColor rgb="FFFFFF00"/>
      </patternFill>
    </fill>
    <fill>
      <patternFill patternType="solid">
        <fgColor rgb="FFF7FBFF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0F0F0"/>
      <rgbColor rgb="FF888888"/>
      <rgbColor rgb="FF9999FF"/>
      <rgbColor rgb="FF993366"/>
      <rgbColor rgb="FFFFF2CC"/>
      <rgbColor rgb="FFEBF3FB"/>
      <rgbColor rgb="FF660066"/>
      <rgbColor rgb="FFFF8080"/>
      <rgbColor rgb="FF0066CC"/>
      <rgbColor rgb="FFF4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F2F2F2"/>
      <rgbColor rgb="FFF7FBFF"/>
      <rgbColor rgb="FFCC99FF"/>
      <rgbColor rgb="FFFFCCCC"/>
      <rgbColor rgb="FF2F75B6"/>
      <rgbColor rgb="FF33CCCC"/>
      <rgbColor rgb="FF99CC00"/>
      <rgbColor rgb="FFFFD700"/>
      <rgbColor rgb="FFFF9900"/>
      <rgbColor rgb="FFFF6600"/>
      <rgbColor rgb="FF666699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4" min="4" style="1" width="11"/>
    <col collapsed="false" customWidth="true" hidden="false" outlineLevel="0" max="11" min="5" style="1" width="20"/>
    <col collapsed="false" customWidth="true" hidden="false" outlineLevel="0" max="12" min="12" style="1" width="3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22" min="15" style="1" width="20"/>
    <col collapsed="false" customWidth="true" hidden="false" outlineLevel="0" max="23" min="23" style="1" width="13"/>
    <col collapsed="false" customWidth="true" hidden="false" outlineLevel="0" max="24" min="24" style="1" width="15"/>
    <col collapsed="false" customWidth="true" hidden="false" outlineLevel="0" max="25" min="25" style="1" width="14"/>
    <col collapsed="false" customWidth="true" hidden="false" outlineLevel="0" max="26" min="26" style="1" width="12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21.75" hidden="false" customHeight="true" outlineLevel="0" collapsed="false">
      <c r="A2" s="3" t="s">
        <v>1</v>
      </c>
      <c r="B2" s="3"/>
      <c r="C2" s="3"/>
      <c r="D2" s="3" t="s">
        <v>2</v>
      </c>
      <c r="E2" s="3"/>
      <c r="F2" s="3"/>
      <c r="G2" s="3"/>
      <c r="H2" s="3"/>
      <c r="I2" s="3"/>
      <c r="J2" s="3"/>
      <c r="K2" s="3"/>
      <c r="L2" s="3"/>
      <c r="M2" s="3"/>
      <c r="N2" s="3" t="s">
        <v>3</v>
      </c>
      <c r="O2" s="3"/>
      <c r="P2" s="3"/>
      <c r="Q2" s="3"/>
      <c r="R2" s="3"/>
      <c r="S2" s="3"/>
      <c r="T2" s="3"/>
      <c r="U2" s="3"/>
      <c r="V2" s="3"/>
      <c r="W2" s="3"/>
      <c r="X2" s="4"/>
      <c r="Y2" s="4"/>
      <c r="Z2" s="4"/>
    </row>
    <row r="3" customFormat="false" ht="15" hidden="false" customHeight="true" outlineLevel="0" collapsed="false">
      <c r="A3" s="5"/>
      <c r="B3" s="5"/>
      <c r="C3" s="5"/>
      <c r="D3" s="6"/>
      <c r="E3" s="6" t="s">
        <v>4</v>
      </c>
      <c r="F3" s="6" t="s">
        <v>4</v>
      </c>
      <c r="G3" s="6" t="s">
        <v>4</v>
      </c>
      <c r="H3" s="6" t="s">
        <v>5</v>
      </c>
      <c r="I3" s="6" t="s">
        <v>5</v>
      </c>
      <c r="J3" s="6" t="s">
        <v>6</v>
      </c>
      <c r="K3" s="6" t="s">
        <v>6</v>
      </c>
      <c r="M3" s="6"/>
      <c r="N3" s="6"/>
      <c r="O3" s="6" t="s">
        <v>4</v>
      </c>
      <c r="P3" s="6" t="s">
        <v>4</v>
      </c>
      <c r="Q3" s="6" t="s">
        <v>4</v>
      </c>
      <c r="R3" s="6" t="s">
        <v>5</v>
      </c>
      <c r="S3" s="6" t="s">
        <v>5</v>
      </c>
      <c r="T3" s="6" t="s">
        <v>6</v>
      </c>
      <c r="U3" s="6" t="s">
        <v>6</v>
      </c>
      <c r="V3" s="6" t="s">
        <v>4</v>
      </c>
      <c r="W3" s="6"/>
      <c r="X3" s="6"/>
      <c r="Y3" s="6"/>
      <c r="Z3" s="6"/>
    </row>
    <row r="4" customFormat="false" ht="51.75" hidden="false" customHeight="true" outlineLevel="0" collapsed="false">
      <c r="A4" s="7" t="s">
        <v>7</v>
      </c>
      <c r="B4" s="7" t="s">
        <v>8</v>
      </c>
      <c r="C4" s="7" t="s">
        <v>9</v>
      </c>
      <c r="D4" s="4" t="s">
        <v>10</v>
      </c>
      <c r="E4" s="8" t="s">
        <v>11</v>
      </c>
      <c r="F4" s="8" t="s">
        <v>12</v>
      </c>
      <c r="G4" s="8" t="s">
        <v>13</v>
      </c>
      <c r="H4" s="8" t="s">
        <v>14</v>
      </c>
      <c r="I4" s="8" t="s">
        <v>15</v>
      </c>
      <c r="J4" s="8" t="s">
        <v>16</v>
      </c>
      <c r="K4" s="8" t="s">
        <v>17</v>
      </c>
      <c r="M4" s="9" t="s">
        <v>18</v>
      </c>
      <c r="N4" s="4" t="s">
        <v>19</v>
      </c>
      <c r="O4" s="10" t="s">
        <v>20</v>
      </c>
      <c r="P4" s="10" t="s">
        <v>21</v>
      </c>
      <c r="Q4" s="10" t="s">
        <v>22</v>
      </c>
      <c r="R4" s="10" t="s">
        <v>23</v>
      </c>
      <c r="S4" s="10" t="s">
        <v>24</v>
      </c>
      <c r="T4" s="10" t="s">
        <v>25</v>
      </c>
      <c r="U4" s="10" t="s">
        <v>26</v>
      </c>
      <c r="V4" s="11" t="s">
        <v>27</v>
      </c>
      <c r="W4" s="9" t="s">
        <v>28</v>
      </c>
      <c r="X4" s="12" t="s">
        <v>29</v>
      </c>
      <c r="Y4" s="13" t="s">
        <v>30</v>
      </c>
      <c r="Z4" s="14" t="s">
        <v>31</v>
      </c>
    </row>
    <row r="5" customFormat="false" ht="18" hidden="false" customHeight="true" outlineLevel="0" collapsed="false">
      <c r="A5" s="15" t="s">
        <v>32</v>
      </c>
      <c r="B5" s="15" t="s">
        <v>33</v>
      </c>
      <c r="C5" s="15" t="s">
        <v>34</v>
      </c>
      <c r="D5" s="16" t="n">
        <v>20</v>
      </c>
      <c r="E5" s="17" t="n">
        <v>10.06</v>
      </c>
      <c r="F5" s="17" t="n">
        <v>8.74</v>
      </c>
      <c r="G5" s="18" t="n">
        <v>14.3</v>
      </c>
      <c r="H5" s="18" t="n">
        <v>16.26</v>
      </c>
      <c r="I5" s="18" t="n">
        <v>13.82</v>
      </c>
      <c r="J5" s="18" t="n">
        <v>14.38</v>
      </c>
      <c r="K5" s="18" t="n">
        <v>12.91</v>
      </c>
      <c r="M5" s="19" t="n">
        <f aca="false">(E5*5+F5*5+G5*5+H5*4+I5*4+J5*3+K5*3)/29</f>
        <v>12.6789655172414</v>
      </c>
      <c r="N5" s="16" t="n">
        <v>3</v>
      </c>
      <c r="O5" s="18" t="n">
        <v>14.62</v>
      </c>
      <c r="P5" s="17" t="n">
        <v>9.91</v>
      </c>
      <c r="Q5" s="18" t="n">
        <v>14.53</v>
      </c>
      <c r="R5" s="18" t="n">
        <v>14.02</v>
      </c>
      <c r="S5" s="18" t="n">
        <v>15.95</v>
      </c>
      <c r="T5" s="18" t="n">
        <v>15.77</v>
      </c>
      <c r="U5" s="18" t="n">
        <v>12.24</v>
      </c>
      <c r="V5" s="20" t="n">
        <v>12.62</v>
      </c>
      <c r="W5" s="19" t="n">
        <f aca="false">(O5*5+P5*5+Q5*5+R5*4+S5*4+T5*3+U5*3+V5*5)/34</f>
        <v>13.5973529411765</v>
      </c>
      <c r="X5" s="21" t="n">
        <f aca="false">(M5+W5)/2</f>
        <v>13.1381592292089</v>
      </c>
      <c r="Y5" s="13" t="n">
        <f aca="false">COUNTIF(E5:K5,"&lt;12")+COUNTIF(O5:V5,"&lt;12")</f>
        <v>3</v>
      </c>
      <c r="Z5" s="22" t="s">
        <v>35</v>
      </c>
    </row>
    <row r="6" customFormat="false" ht="18" hidden="false" customHeight="true" outlineLevel="0" collapsed="false">
      <c r="A6" s="23" t="s">
        <v>36</v>
      </c>
      <c r="B6" s="23" t="s">
        <v>37</v>
      </c>
      <c r="C6" s="23" t="s">
        <v>38</v>
      </c>
      <c r="D6" s="16" t="n">
        <v>2</v>
      </c>
      <c r="E6" s="18" t="n">
        <v>12.76</v>
      </c>
      <c r="F6" s="18" t="n">
        <v>14.95</v>
      </c>
      <c r="G6" s="17" t="n">
        <v>11.56</v>
      </c>
      <c r="H6" s="17" t="n">
        <v>11.63</v>
      </c>
      <c r="I6" s="18" t="n">
        <v>14.54</v>
      </c>
      <c r="J6" s="18" t="n">
        <v>14.35</v>
      </c>
      <c r="K6" s="18" t="n">
        <v>18.71</v>
      </c>
      <c r="M6" s="19" t="n">
        <f aca="false">(E6*5+F6*5+G6*5+H6*4+I6*4+J6*3+K6*3)/29</f>
        <v>13.8003448275862</v>
      </c>
      <c r="N6" s="16" t="n">
        <v>7</v>
      </c>
      <c r="O6" s="18" t="n">
        <v>15.1</v>
      </c>
      <c r="P6" s="18" t="n">
        <v>14.61</v>
      </c>
      <c r="Q6" s="18" t="n">
        <v>14.09</v>
      </c>
      <c r="R6" s="18" t="n">
        <v>16.11</v>
      </c>
      <c r="S6" s="18" t="n">
        <v>13.72</v>
      </c>
      <c r="T6" s="17" t="n">
        <v>11.74</v>
      </c>
      <c r="U6" s="18" t="n">
        <v>19.37</v>
      </c>
      <c r="V6" s="20" t="n">
        <v>15</v>
      </c>
      <c r="W6" s="19" t="n">
        <f aca="false">(O6*5+P6*5+Q6*5+R6*4+S6*4+T6*3+U6*3+V6*5)/34</f>
        <v>14.9014705882353</v>
      </c>
      <c r="X6" s="21" t="n">
        <f aca="false">(M6+W6)/2</f>
        <v>14.3509077079108</v>
      </c>
      <c r="Y6" s="13" t="n">
        <f aca="false">COUNTIF(E6:K6,"&lt;12")+COUNTIF(O6:V6,"&lt;12")</f>
        <v>3</v>
      </c>
      <c r="Z6" s="22" t="s">
        <v>35</v>
      </c>
    </row>
    <row r="7" customFormat="false" ht="18" hidden="false" customHeight="true" outlineLevel="0" collapsed="false">
      <c r="A7" s="15" t="s">
        <v>39</v>
      </c>
      <c r="B7" s="15" t="s">
        <v>40</v>
      </c>
      <c r="C7" s="15" t="s">
        <v>41</v>
      </c>
      <c r="D7" s="16" t="n">
        <v>2</v>
      </c>
      <c r="E7" s="18" t="n">
        <v>14.84</v>
      </c>
      <c r="F7" s="18" t="n">
        <v>16.9</v>
      </c>
      <c r="G7" s="18" t="n">
        <v>12.28</v>
      </c>
      <c r="H7" s="17" t="n">
        <v>7.79</v>
      </c>
      <c r="I7" s="17" t="n">
        <v>11.77</v>
      </c>
      <c r="J7" s="18" t="n">
        <v>19.45</v>
      </c>
      <c r="K7" s="18" t="n">
        <v>13.61</v>
      </c>
      <c r="M7" s="19" t="n">
        <f aca="false">(E7*5+F7*5+G7*5+H7*4+I7*4+J7*3+K7*3)/29</f>
        <v>13.7075862068965</v>
      </c>
      <c r="N7" s="16" t="n">
        <v>1</v>
      </c>
      <c r="O7" s="18" t="n">
        <v>19.14</v>
      </c>
      <c r="P7" s="18" t="n">
        <v>17.76</v>
      </c>
      <c r="Q7" s="18" t="n">
        <v>12.42</v>
      </c>
      <c r="R7" s="18" t="n">
        <v>16.01</v>
      </c>
      <c r="S7" s="18" t="n">
        <v>15.52</v>
      </c>
      <c r="T7" s="18" t="n">
        <v>13.71</v>
      </c>
      <c r="U7" s="17" t="n">
        <v>10.34</v>
      </c>
      <c r="V7" s="20" t="n">
        <v>15.01</v>
      </c>
      <c r="W7" s="19" t="n">
        <f aca="false">(O7*5+P7*5+Q7*5+R7*4+S7*4+T7*3+U7*3+V7*5)/34</f>
        <v>15.2917647058824</v>
      </c>
      <c r="X7" s="21" t="n">
        <f aca="false">(M7+W7)/2</f>
        <v>14.4996754563895</v>
      </c>
      <c r="Y7" s="13" t="n">
        <f aca="false">COUNTIF(E7:K7,"&lt;12")+COUNTIF(O7:V7,"&lt;12")</f>
        <v>3</v>
      </c>
      <c r="Z7" s="22" t="s">
        <v>35</v>
      </c>
    </row>
    <row r="8" customFormat="false" ht="18" hidden="false" customHeight="true" outlineLevel="0" collapsed="false">
      <c r="A8" s="23" t="s">
        <v>42</v>
      </c>
      <c r="B8" s="23" t="s">
        <v>43</v>
      </c>
      <c r="C8" s="23" t="s">
        <v>44</v>
      </c>
      <c r="D8" s="16" t="n">
        <v>16</v>
      </c>
      <c r="E8" s="18" t="n">
        <v>13.11</v>
      </c>
      <c r="F8" s="18" t="n">
        <v>12.58</v>
      </c>
      <c r="G8" s="17" t="n">
        <v>11.54</v>
      </c>
      <c r="H8" s="18" t="n">
        <v>19.32</v>
      </c>
      <c r="I8" s="18" t="n">
        <v>17.08</v>
      </c>
      <c r="J8" s="17" t="n">
        <v>9.99</v>
      </c>
      <c r="K8" s="17" t="n">
        <v>10.01</v>
      </c>
      <c r="M8" s="19" t="n">
        <f aca="false">(E8*5+F8*5+G8*5+H8*4+I8*4+J8*3+K8*3)/29</f>
        <v>13.5086206896552</v>
      </c>
      <c r="N8" s="16" t="n">
        <v>0</v>
      </c>
      <c r="O8" s="18" t="n">
        <v>14.09</v>
      </c>
      <c r="P8" s="18" t="n">
        <v>14.85</v>
      </c>
      <c r="Q8" s="18" t="n">
        <v>16.15</v>
      </c>
      <c r="R8" s="18" t="n">
        <v>17.2</v>
      </c>
      <c r="S8" s="18" t="n">
        <v>19.22</v>
      </c>
      <c r="T8" s="18" t="n">
        <v>13.66</v>
      </c>
      <c r="U8" s="18" t="n">
        <v>13.63</v>
      </c>
      <c r="V8" s="20" t="n">
        <v>15.25</v>
      </c>
      <c r="W8" s="19" t="n">
        <f aca="false">(O8*5+P8*5+Q8*5+R8*4+S8*4+T8*3+U8*3+V8*5)/34</f>
        <v>15.5661764705882</v>
      </c>
      <c r="X8" s="21" t="n">
        <f aca="false">(M8+W8)/2</f>
        <v>14.5373985801217</v>
      </c>
      <c r="Y8" s="13" t="n">
        <f aca="false">COUNTIF(E8:K8,"&lt;12")+COUNTIF(O8:V8,"&lt;12")</f>
        <v>3</v>
      </c>
      <c r="Z8" s="22" t="s">
        <v>35</v>
      </c>
    </row>
    <row r="9" customFormat="false" ht="18" hidden="false" customHeight="true" outlineLevel="0" collapsed="false">
      <c r="A9" s="15" t="s">
        <v>45</v>
      </c>
      <c r="B9" s="15" t="s">
        <v>46</v>
      </c>
      <c r="C9" s="15" t="s">
        <v>47</v>
      </c>
      <c r="D9" s="16" t="n">
        <v>20</v>
      </c>
      <c r="E9" s="18" t="n">
        <v>18.32</v>
      </c>
      <c r="F9" s="18" t="n">
        <v>17.75</v>
      </c>
      <c r="G9" s="18" t="n">
        <v>13.33</v>
      </c>
      <c r="H9" s="17" t="n">
        <v>9.98</v>
      </c>
      <c r="I9" s="18" t="n">
        <v>15.36</v>
      </c>
      <c r="J9" s="17" t="n">
        <v>9.68</v>
      </c>
      <c r="K9" s="18" t="n">
        <v>14.21</v>
      </c>
      <c r="M9" s="19" t="n">
        <f aca="false">(E9*5+F9*5+G9*5+H9*4+I9*4+J9*3+K9*3)/29</f>
        <v>14.4837931034483</v>
      </c>
      <c r="N9" s="16" t="n">
        <v>1</v>
      </c>
      <c r="O9" s="18" t="n">
        <v>18.69</v>
      </c>
      <c r="P9" s="18" t="n">
        <v>14.14</v>
      </c>
      <c r="Q9" s="18" t="n">
        <v>12.91</v>
      </c>
      <c r="R9" s="18" t="n">
        <v>16.81</v>
      </c>
      <c r="S9" s="18" t="n">
        <v>17.09</v>
      </c>
      <c r="T9" s="17" t="n">
        <v>9.38</v>
      </c>
      <c r="U9" s="18" t="n">
        <v>13.45</v>
      </c>
      <c r="V9" s="20" t="n">
        <v>12.39</v>
      </c>
      <c r="W9" s="19" t="n">
        <f aca="false">(O9*5+P9*5+Q9*5+R9*4+S9*4+T9*3+U9*3+V9*5)/34</f>
        <v>14.5511764705882</v>
      </c>
      <c r="X9" s="21" t="n">
        <f aca="false">(M9+W9)/2</f>
        <v>14.5174847870183</v>
      </c>
      <c r="Y9" s="13" t="n">
        <f aca="false">COUNTIF(E9:K9,"&lt;12")+COUNTIF(O9:V9,"&lt;12")</f>
        <v>3</v>
      </c>
      <c r="Z9" s="22" t="s">
        <v>35</v>
      </c>
    </row>
    <row r="10" customFormat="false" ht="18" hidden="false" customHeight="true" outlineLevel="0" collapsed="false">
      <c r="A10" s="23" t="s">
        <v>48</v>
      </c>
      <c r="B10" s="23" t="s">
        <v>49</v>
      </c>
      <c r="C10" s="23" t="s">
        <v>50</v>
      </c>
      <c r="D10" s="16" t="n">
        <v>0</v>
      </c>
      <c r="E10" s="18" t="n">
        <v>12.08</v>
      </c>
      <c r="F10" s="18" t="n">
        <v>13.02</v>
      </c>
      <c r="G10" s="18" t="n">
        <v>17.81</v>
      </c>
      <c r="H10" s="18" t="n">
        <v>18.28</v>
      </c>
      <c r="I10" s="17" t="n">
        <v>9.06</v>
      </c>
      <c r="J10" s="18" t="n">
        <v>12.65</v>
      </c>
      <c r="K10" s="17" t="n">
        <v>11.88</v>
      </c>
      <c r="M10" s="19" t="n">
        <f aca="false">(E10*5+F10*5+G10*5+H10*4+I10*4+J10*3+K10*3)/29</f>
        <v>13.7068965517241</v>
      </c>
      <c r="N10" s="16" t="n">
        <v>2</v>
      </c>
      <c r="O10" s="18" t="n">
        <v>18.58</v>
      </c>
      <c r="P10" s="18" t="n">
        <v>16.81</v>
      </c>
      <c r="Q10" s="17" t="n">
        <v>10.57</v>
      </c>
      <c r="R10" s="18" t="n">
        <v>15.71</v>
      </c>
      <c r="S10" s="18" t="n">
        <v>16.13</v>
      </c>
      <c r="T10" s="18" t="n">
        <v>16.79</v>
      </c>
      <c r="U10" s="18" t="n">
        <v>15.27</v>
      </c>
      <c r="V10" s="20" t="n">
        <v>13.08</v>
      </c>
      <c r="W10" s="19" t="n">
        <f aca="false">(O10*5+P10*5+Q10*5+R10*4+S10*4+T10*3+U10*3+V10*5)/34</f>
        <v>15.2570588235294</v>
      </c>
      <c r="X10" s="21" t="n">
        <f aca="false">(M10+W10)/2</f>
        <v>14.4819776876268</v>
      </c>
      <c r="Y10" s="13" t="n">
        <f aca="false">COUNTIF(E10:K10,"&lt;12")+COUNTIF(O10:V10,"&lt;12")</f>
        <v>3</v>
      </c>
      <c r="Z10" s="22" t="s">
        <v>35</v>
      </c>
    </row>
    <row r="11" customFormat="false" ht="18" hidden="false" customHeight="true" outlineLevel="0" collapsed="false">
      <c r="A11" s="15" t="s">
        <v>51</v>
      </c>
      <c r="B11" s="15" t="s">
        <v>52</v>
      </c>
      <c r="C11" s="15" t="s">
        <v>53</v>
      </c>
      <c r="D11" s="16" t="n">
        <v>2</v>
      </c>
      <c r="E11" s="18" t="n">
        <v>13.53</v>
      </c>
      <c r="F11" s="18" t="n">
        <v>18.68</v>
      </c>
      <c r="G11" s="18" t="n">
        <v>14.81</v>
      </c>
      <c r="H11" s="18" t="n">
        <v>15.95</v>
      </c>
      <c r="I11" s="18" t="n">
        <v>14.65</v>
      </c>
      <c r="J11" s="17" t="n">
        <v>11.95</v>
      </c>
      <c r="K11" s="18" t="n">
        <v>15.4</v>
      </c>
      <c r="M11" s="19" t="n">
        <f aca="false">(E11*5+F11*5+G11*5+H11*4+I11*4+J11*3+K11*3)/29</f>
        <v>15.1568965517241</v>
      </c>
      <c r="N11" s="16" t="n">
        <v>13</v>
      </c>
      <c r="O11" s="17" t="n">
        <v>10.75</v>
      </c>
      <c r="P11" s="17" t="n">
        <v>10.95</v>
      </c>
      <c r="Q11" s="18" t="n">
        <v>16.4</v>
      </c>
      <c r="R11" s="18" t="n">
        <v>12.72</v>
      </c>
      <c r="S11" s="18" t="n">
        <v>12.73</v>
      </c>
      <c r="T11" s="18" t="n">
        <v>19.48</v>
      </c>
      <c r="U11" s="18" t="n">
        <v>19.45</v>
      </c>
      <c r="V11" s="20" t="n">
        <v>12.87</v>
      </c>
      <c r="W11" s="19" t="n">
        <f aca="false">(O11*5+P11*5+Q11*5+R11*4+S11*4+T11*3+U11*3+V11*5)/34</f>
        <v>13.9247058823529</v>
      </c>
      <c r="X11" s="21" t="n">
        <f aca="false">(M11+W11)/2</f>
        <v>14.5408012170385</v>
      </c>
      <c r="Y11" s="13" t="n">
        <f aca="false">COUNTIF(E11:K11,"&lt;12")+COUNTIF(O11:V11,"&lt;12")</f>
        <v>3</v>
      </c>
      <c r="Z11" s="22" t="s">
        <v>35</v>
      </c>
    </row>
    <row r="12" customFormat="false" ht="18" hidden="false" customHeight="true" outlineLevel="0" collapsed="false">
      <c r="A12" s="23" t="s">
        <v>54</v>
      </c>
      <c r="B12" s="23" t="s">
        <v>55</v>
      </c>
      <c r="C12" s="23" t="s">
        <v>56</v>
      </c>
      <c r="D12" s="16" t="n">
        <v>19</v>
      </c>
      <c r="E12" s="18" t="n">
        <v>15.59</v>
      </c>
      <c r="F12" s="18" t="n">
        <v>17.66</v>
      </c>
      <c r="G12" s="18" t="n">
        <v>13.32</v>
      </c>
      <c r="H12" s="17" t="n">
        <v>10.14</v>
      </c>
      <c r="I12" s="18" t="n">
        <v>18.35</v>
      </c>
      <c r="J12" s="18" t="n">
        <v>12.42</v>
      </c>
      <c r="K12" s="18" t="n">
        <v>14.93</v>
      </c>
      <c r="M12" s="19" t="n">
        <f aca="false">(E12*5+F12*5+G12*5+H12*4+I12*4+J12*3+K12*3)/29</f>
        <v>14.788275862069</v>
      </c>
      <c r="N12" s="16" t="n">
        <v>6</v>
      </c>
      <c r="O12" s="18" t="n">
        <v>17.37</v>
      </c>
      <c r="P12" s="18" t="n">
        <v>13.73</v>
      </c>
      <c r="Q12" s="17" t="n">
        <v>11.17</v>
      </c>
      <c r="R12" s="18" t="n">
        <v>14.84</v>
      </c>
      <c r="S12" s="18" t="n">
        <v>19.25</v>
      </c>
      <c r="T12" s="17" t="n">
        <v>9.02</v>
      </c>
      <c r="U12" s="18" t="n">
        <v>12.52</v>
      </c>
      <c r="V12" s="20" t="n">
        <v>15.82</v>
      </c>
      <c r="W12" s="19" t="n">
        <f aca="false">(O12*5+P12*5+Q12*5+R12*4+S12*4+T12*3+U12*3+V12*5)/34</f>
        <v>14.4538235294118</v>
      </c>
      <c r="X12" s="21" t="n">
        <f aca="false">(M12+W12)/2</f>
        <v>14.6210496957404</v>
      </c>
      <c r="Y12" s="13" t="n">
        <f aca="false">COUNTIF(E12:K12,"&lt;12")+COUNTIF(O12:V12,"&lt;12")</f>
        <v>3</v>
      </c>
      <c r="Z12" s="22" t="s">
        <v>35</v>
      </c>
    </row>
    <row r="13" customFormat="false" ht="18" hidden="false" customHeight="true" outlineLevel="0" collapsed="false">
      <c r="A13" s="15" t="s">
        <v>57</v>
      </c>
      <c r="B13" s="15" t="s">
        <v>58</v>
      </c>
      <c r="C13" s="15" t="s">
        <v>59</v>
      </c>
      <c r="D13" s="16" t="n">
        <v>7</v>
      </c>
      <c r="E13" s="18" t="n">
        <v>12.99</v>
      </c>
      <c r="F13" s="18" t="n">
        <v>16.21</v>
      </c>
      <c r="G13" s="17" t="n">
        <v>11.15</v>
      </c>
      <c r="H13" s="18" t="n">
        <v>18.64</v>
      </c>
      <c r="I13" s="18" t="n">
        <v>17.03</v>
      </c>
      <c r="J13" s="18" t="n">
        <v>17.8</v>
      </c>
      <c r="K13" s="18" t="n">
        <v>17.13</v>
      </c>
      <c r="M13" s="19" t="n">
        <f aca="false">(E13*5+F13*5+G13*5+H13*4+I13*4+J13*3+K13*3)/29</f>
        <v>15.4903448275862</v>
      </c>
      <c r="N13" s="16" t="n">
        <v>5</v>
      </c>
      <c r="O13" s="17" t="n">
        <v>10.34</v>
      </c>
      <c r="P13" s="18" t="n">
        <v>16.84</v>
      </c>
      <c r="Q13" s="18" t="n">
        <v>14.41</v>
      </c>
      <c r="R13" s="18" t="n">
        <v>17.9</v>
      </c>
      <c r="S13" s="18" t="n">
        <v>17.73</v>
      </c>
      <c r="T13" s="17" t="n">
        <v>9.78</v>
      </c>
      <c r="U13" s="18" t="n">
        <v>17.21</v>
      </c>
      <c r="V13" s="20" t="n">
        <v>12.75</v>
      </c>
      <c r="W13" s="19" t="n">
        <f aca="false">(O13*5+P13*5+Q13*5+R13*4+S13*4+T13*3+U13*3+V13*5)/34</f>
        <v>14.5644117647059</v>
      </c>
      <c r="X13" s="21" t="n">
        <f aca="false">(M13+W13)/2</f>
        <v>15.027378296146</v>
      </c>
      <c r="Y13" s="13" t="n">
        <f aca="false">COUNTIF(E13:K13,"&lt;12")+COUNTIF(O13:V13,"&lt;12")</f>
        <v>3</v>
      </c>
      <c r="Z13" s="22" t="s">
        <v>35</v>
      </c>
    </row>
    <row r="14" customFormat="false" ht="18" hidden="false" customHeight="true" outlineLevel="0" collapsed="false">
      <c r="A14" s="23" t="s">
        <v>60</v>
      </c>
      <c r="B14" s="23" t="s">
        <v>61</v>
      </c>
      <c r="C14" s="23" t="s">
        <v>62</v>
      </c>
      <c r="D14" s="16" t="n">
        <v>10</v>
      </c>
      <c r="E14" s="17" t="n">
        <v>8.45</v>
      </c>
      <c r="F14" s="18" t="n">
        <v>18.24</v>
      </c>
      <c r="G14" s="17" t="n">
        <v>9.38</v>
      </c>
      <c r="H14" s="18" t="n">
        <v>14.02</v>
      </c>
      <c r="I14" s="18" t="n">
        <v>12.45</v>
      </c>
      <c r="J14" s="18" t="n">
        <v>13.5</v>
      </c>
      <c r="K14" s="18" t="n">
        <v>17.08</v>
      </c>
      <c r="M14" s="19" t="n">
        <f aca="false">(E14*5+F14*5+G14*5+H14*4+I14*4+J14*3+K14*3)/29</f>
        <v>13.0334482758621</v>
      </c>
      <c r="N14" s="16" t="n">
        <v>13</v>
      </c>
      <c r="O14" s="18" t="n">
        <v>15.59</v>
      </c>
      <c r="P14" s="18" t="n">
        <v>18.75</v>
      </c>
      <c r="Q14" s="18" t="n">
        <v>16.21</v>
      </c>
      <c r="R14" s="17" t="n">
        <v>9.46</v>
      </c>
      <c r="S14" s="18" t="n">
        <v>12.39</v>
      </c>
      <c r="T14" s="18" t="n">
        <v>18.86</v>
      </c>
      <c r="U14" s="18" t="n">
        <v>18.51</v>
      </c>
      <c r="V14" s="20" t="n">
        <v>14.79</v>
      </c>
      <c r="W14" s="19" t="n">
        <f aca="false">(O14*5+P14*5+Q14*5+R14*4+S14*4+T14*3+U14*3+V14*5)/34</f>
        <v>15.4767647058824</v>
      </c>
      <c r="X14" s="21" t="n">
        <f aca="false">(M14+W14)/2</f>
        <v>14.2551064908722</v>
      </c>
      <c r="Y14" s="13" t="n">
        <f aca="false">COUNTIF(E14:K14,"&lt;12")+COUNTIF(O14:V14,"&lt;12")</f>
        <v>3</v>
      </c>
      <c r="Z14" s="22" t="s">
        <v>35</v>
      </c>
    </row>
    <row r="15" customFormat="false" ht="18" hidden="false" customHeight="true" outlineLevel="0" collapsed="false">
      <c r="A15" s="15" t="s">
        <v>63</v>
      </c>
      <c r="B15" s="15" t="s">
        <v>64</v>
      </c>
      <c r="C15" s="15" t="s">
        <v>65</v>
      </c>
      <c r="D15" s="16" t="n">
        <v>18</v>
      </c>
      <c r="E15" s="18" t="n">
        <v>12.81</v>
      </c>
      <c r="F15" s="18" t="n">
        <v>12.53</v>
      </c>
      <c r="G15" s="17" t="n">
        <v>9.67</v>
      </c>
      <c r="H15" s="18" t="n">
        <v>12.91</v>
      </c>
      <c r="I15" s="18" t="n">
        <v>18.26</v>
      </c>
      <c r="J15" s="18" t="n">
        <v>16.95</v>
      </c>
      <c r="K15" s="18" t="n">
        <v>12.17</v>
      </c>
      <c r="M15" s="19" t="n">
        <f aca="false">(E15*5+F15*5+G15*5+H15*4+I15*4+J15*3+K15*3)/29</f>
        <v>13.3479310344828</v>
      </c>
      <c r="N15" s="16" t="n">
        <v>19</v>
      </c>
      <c r="O15" s="18" t="n">
        <v>12.68</v>
      </c>
      <c r="P15" s="18" t="n">
        <v>13.44</v>
      </c>
      <c r="Q15" s="18" t="n">
        <v>14.91</v>
      </c>
      <c r="R15" s="17" t="n">
        <v>11.19</v>
      </c>
      <c r="S15" s="18" t="n">
        <v>17.23</v>
      </c>
      <c r="T15" s="18" t="n">
        <v>16.39</v>
      </c>
      <c r="U15" s="18" t="n">
        <v>15.41</v>
      </c>
      <c r="V15" s="17" t="n">
        <v>9.81</v>
      </c>
      <c r="W15" s="19" t="n">
        <f aca="false">(O15*5+P15*5+Q15*5+R15*4+S15*4+T15*3+U15*3+V15*5)/34</f>
        <v>13.6258823529412</v>
      </c>
      <c r="X15" s="21" t="n">
        <f aca="false">(M15+W15)/2</f>
        <v>13.486906693712</v>
      </c>
      <c r="Y15" s="13" t="n">
        <f aca="false">COUNTIF(E15:K15,"&lt;12")+COUNTIF(O15:V15,"&lt;12")</f>
        <v>3</v>
      </c>
      <c r="Z15" s="22" t="s">
        <v>35</v>
      </c>
    </row>
    <row r="16" customFormat="false" ht="18" hidden="false" customHeight="true" outlineLevel="0" collapsed="false">
      <c r="A16" s="23" t="s">
        <v>66</v>
      </c>
      <c r="B16" s="23" t="s">
        <v>67</v>
      </c>
      <c r="C16" s="23" t="s">
        <v>68</v>
      </c>
      <c r="D16" s="16" t="n">
        <v>16</v>
      </c>
      <c r="E16" s="17" t="n">
        <v>10.11</v>
      </c>
      <c r="F16" s="18" t="n">
        <v>17.6</v>
      </c>
      <c r="G16" s="18" t="n">
        <v>12.71</v>
      </c>
      <c r="H16" s="18" t="n">
        <v>17.02</v>
      </c>
      <c r="I16" s="18" t="n">
        <v>15.34</v>
      </c>
      <c r="J16" s="18" t="n">
        <v>19.35</v>
      </c>
      <c r="K16" s="18" t="n">
        <v>14.44</v>
      </c>
      <c r="M16" s="19" t="n">
        <f aca="false">(E16*5+F16*5+G16*5+H16*4+I16*4+J16*3+K16*3)/29</f>
        <v>14.9279310344828</v>
      </c>
      <c r="N16" s="16" t="n">
        <v>14</v>
      </c>
      <c r="O16" s="18" t="n">
        <v>18.88</v>
      </c>
      <c r="P16" s="18" t="n">
        <v>18.14</v>
      </c>
      <c r="Q16" s="18" t="n">
        <v>14.66</v>
      </c>
      <c r="R16" s="18" t="n">
        <v>15.99</v>
      </c>
      <c r="S16" s="18" t="n">
        <v>13.31</v>
      </c>
      <c r="T16" s="18" t="n">
        <v>17.38</v>
      </c>
      <c r="U16" s="18" t="n">
        <v>13.85</v>
      </c>
      <c r="V16" s="20" t="n">
        <v>18.22</v>
      </c>
      <c r="W16" s="19" t="n">
        <f aca="false">(O16*5+P16*5+Q16*5+R16*4+S16*4+T16*3+U16*3+V16*5)/34</f>
        <v>16.4820588235294</v>
      </c>
      <c r="X16" s="21" t="n">
        <f aca="false">(M16+W16)/2</f>
        <v>15.7049949290061</v>
      </c>
      <c r="Y16" s="13" t="n">
        <f aca="false">COUNTIF(E16:K16,"&lt;12")+COUNTIF(O16:V16,"&lt;12")</f>
        <v>1</v>
      </c>
      <c r="Z16" s="22" t="s">
        <v>35</v>
      </c>
    </row>
    <row r="17" customFormat="false" ht="18" hidden="false" customHeight="true" outlineLevel="0" collapsed="false">
      <c r="A17" s="15" t="s">
        <v>69</v>
      </c>
      <c r="B17" s="15" t="s">
        <v>70</v>
      </c>
      <c r="C17" s="15" t="s">
        <v>71</v>
      </c>
      <c r="D17" s="16" t="n">
        <v>17</v>
      </c>
      <c r="E17" s="17" t="n">
        <v>9.59</v>
      </c>
      <c r="F17" s="18" t="n">
        <v>12.25</v>
      </c>
      <c r="G17" s="18" t="n">
        <v>18.31</v>
      </c>
      <c r="H17" s="18" t="n">
        <v>14.3</v>
      </c>
      <c r="I17" s="18" t="n">
        <v>15.69</v>
      </c>
      <c r="J17" s="18" t="n">
        <v>17.71</v>
      </c>
      <c r="K17" s="18" t="n">
        <v>16.57</v>
      </c>
      <c r="M17" s="19" t="n">
        <f aca="false">(E17*5+F17*5+G17*5+H17*4+I17*4+J17*3+K17*3)/29</f>
        <v>14.6051724137931</v>
      </c>
      <c r="N17" s="16" t="n">
        <v>14</v>
      </c>
      <c r="O17" s="17" t="n">
        <v>11.75</v>
      </c>
      <c r="P17" s="18" t="n">
        <v>13.68</v>
      </c>
      <c r="Q17" s="17" t="n">
        <v>11.4</v>
      </c>
      <c r="R17" s="18" t="n">
        <v>16.42</v>
      </c>
      <c r="S17" s="18" t="n">
        <v>17.67</v>
      </c>
      <c r="T17" s="18" t="n">
        <v>18.92</v>
      </c>
      <c r="U17" s="18" t="n">
        <v>12.24</v>
      </c>
      <c r="V17" s="20" t="n">
        <v>16.34</v>
      </c>
      <c r="W17" s="19" t="n">
        <f aca="false">(O17*5+P17*5+Q17*5+R17*4+S17*4+T17*3+U17*3+V17*5)/34</f>
        <v>14.5791176470588</v>
      </c>
      <c r="X17" s="21" t="n">
        <f aca="false">(M17+W17)/2</f>
        <v>14.592145030426</v>
      </c>
      <c r="Y17" s="13" t="n">
        <f aca="false">COUNTIF(E17:K17,"&lt;12")+COUNTIF(O17:V17,"&lt;12")</f>
        <v>3</v>
      </c>
      <c r="Z17" s="22" t="s">
        <v>35</v>
      </c>
    </row>
    <row r="18" customFormat="false" ht="18" hidden="false" customHeight="true" outlineLevel="0" collapsed="false">
      <c r="A18" s="23" t="s">
        <v>72</v>
      </c>
      <c r="B18" s="23" t="s">
        <v>73</v>
      </c>
      <c r="C18" s="23" t="s">
        <v>74</v>
      </c>
      <c r="D18" s="16" t="n">
        <v>12</v>
      </c>
      <c r="E18" s="17" t="n">
        <v>11.09</v>
      </c>
      <c r="F18" s="18" t="n">
        <v>16.52</v>
      </c>
      <c r="G18" s="17" t="n">
        <v>11.74</v>
      </c>
      <c r="H18" s="18" t="n">
        <v>16.4</v>
      </c>
      <c r="I18" s="18" t="n">
        <v>17.4</v>
      </c>
      <c r="J18" s="18" t="n">
        <v>12.16</v>
      </c>
      <c r="K18" s="18" t="n">
        <v>12.68</v>
      </c>
      <c r="M18" s="19" t="n">
        <f aca="false">(E18*5+F18*5+G18*5+H18*4+I18*4+J18*3+K18*3)/29</f>
        <v>14.0162068965517</v>
      </c>
      <c r="N18" s="16" t="n">
        <v>10</v>
      </c>
      <c r="O18" s="18" t="n">
        <v>14.85</v>
      </c>
      <c r="P18" s="18" t="n">
        <v>13.74</v>
      </c>
      <c r="Q18" s="18" t="n">
        <v>19.5</v>
      </c>
      <c r="R18" s="17" t="n">
        <v>11.37</v>
      </c>
      <c r="S18" s="18" t="n">
        <v>15.13</v>
      </c>
      <c r="T18" s="18" t="n">
        <v>16.77</v>
      </c>
      <c r="U18" s="18" t="n">
        <v>15.15</v>
      </c>
      <c r="V18" s="20" t="n">
        <v>16.43</v>
      </c>
      <c r="W18" s="19" t="n">
        <f aca="false">(O18*5+P18*5+Q18*5+R18*4+S18*4+T18*3+U18*3+V18*5)/34</f>
        <v>15.4223529411765</v>
      </c>
      <c r="X18" s="21" t="n">
        <f aca="false">(M18+W18)/2</f>
        <v>14.7192799188641</v>
      </c>
      <c r="Y18" s="13" t="n">
        <f aca="false">COUNTIF(E18:K18,"&lt;12")+COUNTIF(O18:V18,"&lt;12")</f>
        <v>3</v>
      </c>
      <c r="Z18" s="22" t="s">
        <v>35</v>
      </c>
    </row>
    <row r="19" customFormat="false" ht="18" hidden="false" customHeight="true" outlineLevel="0" collapsed="false">
      <c r="A19" s="15" t="s">
        <v>75</v>
      </c>
      <c r="B19" s="15" t="s">
        <v>76</v>
      </c>
      <c r="C19" s="15" t="s">
        <v>77</v>
      </c>
      <c r="D19" s="16" t="n">
        <v>6</v>
      </c>
      <c r="E19" s="17" t="n">
        <v>10.04</v>
      </c>
      <c r="F19" s="18" t="n">
        <v>15.71</v>
      </c>
      <c r="G19" s="17" t="n">
        <v>10.77</v>
      </c>
      <c r="H19" s="18" t="n">
        <v>15.55</v>
      </c>
      <c r="I19" s="18" t="n">
        <v>17.07</v>
      </c>
      <c r="J19" s="18" t="n">
        <v>16.95</v>
      </c>
      <c r="K19" s="18" t="n">
        <v>14.07</v>
      </c>
      <c r="M19" s="19" t="n">
        <f aca="false">(E19*5+F19*5+G19*5+H19*4+I19*4+J19*3+K19*3)/29</f>
        <v>14.0048275862069</v>
      </c>
      <c r="N19" s="16" t="n">
        <v>2</v>
      </c>
      <c r="O19" s="18" t="n">
        <v>13.15</v>
      </c>
      <c r="P19" s="18" t="n">
        <v>13.66</v>
      </c>
      <c r="Q19" s="18" t="n">
        <v>15.27</v>
      </c>
      <c r="R19" s="17" t="n">
        <v>7.86</v>
      </c>
      <c r="S19" s="18" t="n">
        <v>15.09</v>
      </c>
      <c r="T19" s="18" t="n">
        <v>13.36</v>
      </c>
      <c r="U19" s="18" t="n">
        <v>12.25</v>
      </c>
      <c r="V19" s="20" t="n">
        <v>13.13</v>
      </c>
      <c r="W19" s="19" t="n">
        <f aca="false">(O19*5+P19*5+Q19*5+R19*4+S19*4+T19*3+U19*3+V19*5)/34</f>
        <v>13.0788235294118</v>
      </c>
      <c r="X19" s="21" t="n">
        <f aca="false">(M19+W19)/2</f>
        <v>13.5418255578093</v>
      </c>
      <c r="Y19" s="13" t="n">
        <f aca="false">COUNTIF(E19:K19,"&lt;12")+COUNTIF(O19:V19,"&lt;12")</f>
        <v>3</v>
      </c>
      <c r="Z19" s="22" t="s">
        <v>35</v>
      </c>
    </row>
    <row r="20" customFormat="false" ht="18" hidden="false" customHeight="true" outlineLevel="0" collapsed="false">
      <c r="A20" s="23" t="s">
        <v>78</v>
      </c>
      <c r="B20" s="23" t="s">
        <v>79</v>
      </c>
      <c r="C20" s="23" t="s">
        <v>80</v>
      </c>
      <c r="D20" s="16" t="n">
        <v>14</v>
      </c>
      <c r="E20" s="18" t="n">
        <v>14.63</v>
      </c>
      <c r="F20" s="17" t="n">
        <v>11.74</v>
      </c>
      <c r="G20" s="18" t="n">
        <v>14.3</v>
      </c>
      <c r="H20" s="18" t="n">
        <v>17.64</v>
      </c>
      <c r="I20" s="18" t="n">
        <v>13.97</v>
      </c>
      <c r="J20" s="18" t="n">
        <v>13.52</v>
      </c>
      <c r="K20" s="18" t="n">
        <v>16.97</v>
      </c>
      <c r="M20" s="19" t="n">
        <f aca="false">(E20*5+F20*5+G20*5+H20*4+I20*4+J20*3+K20*3)/29</f>
        <v>14.5262068965517</v>
      </c>
      <c r="N20" s="16" t="n">
        <v>7</v>
      </c>
      <c r="O20" s="17" t="n">
        <v>11.25</v>
      </c>
      <c r="P20" s="18" t="n">
        <v>18</v>
      </c>
      <c r="Q20" s="18" t="n">
        <v>15.76</v>
      </c>
      <c r="R20" s="17" t="n">
        <v>10.45</v>
      </c>
      <c r="S20" s="18" t="n">
        <v>13.52</v>
      </c>
      <c r="T20" s="18" t="n">
        <v>18.85</v>
      </c>
      <c r="U20" s="18" t="n">
        <v>14.1</v>
      </c>
      <c r="V20" s="20" t="n">
        <v>16</v>
      </c>
      <c r="W20" s="19" t="n">
        <f aca="false">(O20*5+P20*5+Q20*5+R20*4+S20*4+T20*3+U20*3+V20*5)/34</f>
        <v>14.6994117647059</v>
      </c>
      <c r="X20" s="21" t="n">
        <f aca="false">(M20+W20)/2</f>
        <v>14.6128093306288</v>
      </c>
      <c r="Y20" s="13" t="n">
        <f aca="false">COUNTIF(E20:K20,"&lt;12")+COUNTIF(O20:V20,"&lt;12")</f>
        <v>3</v>
      </c>
      <c r="Z20" s="22" t="s">
        <v>35</v>
      </c>
    </row>
    <row r="21" customFormat="false" ht="18" hidden="false" customHeight="true" outlineLevel="0" collapsed="false">
      <c r="A21" s="15" t="s">
        <v>81</v>
      </c>
      <c r="B21" s="15" t="s">
        <v>82</v>
      </c>
      <c r="C21" s="15" t="s">
        <v>83</v>
      </c>
      <c r="D21" s="16" t="n">
        <v>5</v>
      </c>
      <c r="E21" s="18" t="n">
        <v>12.14</v>
      </c>
      <c r="F21" s="18" t="n">
        <v>14.37</v>
      </c>
      <c r="G21" s="18" t="n">
        <v>16.5</v>
      </c>
      <c r="H21" s="18" t="n">
        <v>14.46</v>
      </c>
      <c r="I21" s="18" t="n">
        <v>19.26</v>
      </c>
      <c r="J21" s="18" t="n">
        <v>17.41</v>
      </c>
      <c r="K21" s="17" t="n">
        <v>10.7</v>
      </c>
      <c r="M21" s="19" t="n">
        <f aca="false">(E21*5+F21*5+G21*5+H21*4+I21*4+J21*3+K21*3)/29</f>
        <v>14.9744827586207</v>
      </c>
      <c r="N21" s="16" t="n">
        <v>6</v>
      </c>
      <c r="O21" s="17" t="n">
        <v>11.51</v>
      </c>
      <c r="P21" s="17" t="n">
        <v>10.78</v>
      </c>
      <c r="Q21" s="18" t="n">
        <v>15.85</v>
      </c>
      <c r="R21" s="18" t="n">
        <v>12.4</v>
      </c>
      <c r="S21" s="18" t="n">
        <v>13.95</v>
      </c>
      <c r="T21" s="18" t="n">
        <v>14.28</v>
      </c>
      <c r="U21" s="18" t="n">
        <v>12.92</v>
      </c>
      <c r="V21" s="20" t="n">
        <v>18.8</v>
      </c>
      <c r="W21" s="19" t="n">
        <f aca="false">(O21*5+P21*5+Q21*5+R21*4+S21*4+T21*3+U21*3+V21*5)/34</f>
        <v>13.8735294117647</v>
      </c>
      <c r="X21" s="21" t="n">
        <f aca="false">(M21+W21)/2</f>
        <v>14.4240060851927</v>
      </c>
      <c r="Y21" s="13" t="n">
        <f aca="false">COUNTIF(E21:K21,"&lt;12")+COUNTIF(O21:V21,"&lt;12")</f>
        <v>3</v>
      </c>
      <c r="Z21" s="22" t="s">
        <v>35</v>
      </c>
    </row>
    <row r="22" customFormat="false" ht="18" hidden="false" customHeight="true" outlineLevel="0" collapsed="false">
      <c r="A22" s="23" t="s">
        <v>84</v>
      </c>
      <c r="B22" s="23" t="s">
        <v>85</v>
      </c>
      <c r="C22" s="23" t="s">
        <v>86</v>
      </c>
      <c r="D22" s="16" t="n">
        <v>16</v>
      </c>
      <c r="E22" s="17" t="n">
        <v>10.72</v>
      </c>
      <c r="F22" s="18" t="n">
        <v>14.36</v>
      </c>
      <c r="G22" s="18" t="n">
        <v>12.36</v>
      </c>
      <c r="H22" s="18" t="n">
        <v>14.11</v>
      </c>
      <c r="I22" s="18" t="n">
        <v>14.1</v>
      </c>
      <c r="J22" s="18" t="n">
        <v>19</v>
      </c>
      <c r="K22" s="18" t="n">
        <v>12.19</v>
      </c>
      <c r="M22" s="19" t="n">
        <f aca="false">(E22*5+F22*5+G22*5+H22*4+I22*4+J22*3+K22*3)/29</f>
        <v>13.5727586206897</v>
      </c>
      <c r="N22" s="16" t="n">
        <v>12</v>
      </c>
      <c r="O22" s="18" t="n">
        <v>16.53</v>
      </c>
      <c r="P22" s="18" t="n">
        <v>14.82</v>
      </c>
      <c r="Q22" s="17" t="n">
        <v>10.31</v>
      </c>
      <c r="R22" s="18" t="n">
        <v>13.46</v>
      </c>
      <c r="S22" s="17" t="n">
        <v>10</v>
      </c>
      <c r="T22" s="18" t="n">
        <v>13.9</v>
      </c>
      <c r="U22" s="18" t="n">
        <v>12.94</v>
      </c>
      <c r="V22" s="20" t="n">
        <v>12.11</v>
      </c>
      <c r="W22" s="19" t="n">
        <f aca="false">(O22*5+P22*5+Q22*5+R22*4+S22*4+T22*3+U22*3+V22*5)/34</f>
        <v>13.0355882352941</v>
      </c>
      <c r="X22" s="21" t="n">
        <f aca="false">(M22+W22)/2</f>
        <v>13.3041734279919</v>
      </c>
      <c r="Y22" s="13" t="n">
        <f aca="false">COUNTIF(E22:K22,"&lt;12")+COUNTIF(O22:V22,"&lt;12")</f>
        <v>3</v>
      </c>
      <c r="Z22" s="22" t="s">
        <v>35</v>
      </c>
    </row>
    <row r="23" customFormat="false" ht="18" hidden="false" customHeight="true" outlineLevel="0" collapsed="false">
      <c r="A23" s="15" t="s">
        <v>87</v>
      </c>
      <c r="B23" s="15" t="s">
        <v>88</v>
      </c>
      <c r="C23" s="15" t="s">
        <v>89</v>
      </c>
      <c r="D23" s="16" t="n">
        <v>8</v>
      </c>
      <c r="E23" s="18" t="n">
        <v>12.47</v>
      </c>
      <c r="F23" s="18" t="n">
        <v>14.48</v>
      </c>
      <c r="G23" s="18" t="n">
        <v>18.12</v>
      </c>
      <c r="H23" s="18" t="n">
        <v>16.18</v>
      </c>
      <c r="I23" s="18" t="n">
        <v>14.55</v>
      </c>
      <c r="J23" s="17" t="n">
        <v>7.32</v>
      </c>
      <c r="K23" s="17" t="n">
        <v>9.86</v>
      </c>
      <c r="M23" s="19" t="n">
        <f aca="false">(E23*5+F23*5+G23*5+H23*4+I23*4+J23*3+K23*3)/29</f>
        <v>13.7865517241379</v>
      </c>
      <c r="N23" s="16" t="n">
        <v>16</v>
      </c>
      <c r="O23" s="18" t="n">
        <v>15.43</v>
      </c>
      <c r="P23" s="18" t="n">
        <v>17.76</v>
      </c>
      <c r="Q23" s="18" t="n">
        <v>14.34</v>
      </c>
      <c r="R23" s="17" t="n">
        <v>7.26</v>
      </c>
      <c r="S23" s="18" t="n">
        <v>16.56</v>
      </c>
      <c r="T23" s="18" t="n">
        <v>17.27</v>
      </c>
      <c r="U23" s="18" t="n">
        <v>14.2</v>
      </c>
      <c r="V23" s="20" t="n">
        <v>16.54</v>
      </c>
      <c r="W23" s="19" t="n">
        <f aca="false">(O23*5+P23*5+Q23*5+R23*4+S23*4+T23*3+U23*3+V23*5)/34</f>
        <v>15.0011764705882</v>
      </c>
      <c r="X23" s="21" t="n">
        <f aca="false">(M23+W23)/2</f>
        <v>14.3938640973631</v>
      </c>
      <c r="Y23" s="13" t="n">
        <f aca="false">COUNTIF(E23:K23,"&lt;12")+COUNTIF(O23:V23,"&lt;12")</f>
        <v>3</v>
      </c>
      <c r="Z23" s="22" t="s">
        <v>35</v>
      </c>
    </row>
    <row r="24" customFormat="false" ht="18" hidden="false" customHeight="true" outlineLevel="0" collapsed="false">
      <c r="A24" s="23" t="s">
        <v>90</v>
      </c>
      <c r="B24" s="23" t="s">
        <v>91</v>
      </c>
      <c r="C24" s="23" t="s">
        <v>92</v>
      </c>
      <c r="D24" s="16" t="n">
        <v>17</v>
      </c>
      <c r="E24" s="17" t="n">
        <v>10.93</v>
      </c>
      <c r="F24" s="17" t="n">
        <v>11.04</v>
      </c>
      <c r="G24" s="18" t="n">
        <v>19.13</v>
      </c>
      <c r="H24" s="18" t="n">
        <v>12.05</v>
      </c>
      <c r="I24" s="18" t="n">
        <v>13.43</v>
      </c>
      <c r="J24" s="18" t="n">
        <v>19.35</v>
      </c>
      <c r="K24" s="18" t="n">
        <v>15.22</v>
      </c>
      <c r="M24" s="19" t="n">
        <f aca="false">(E24*5+F24*5+G24*5+H24*4+I24*4+J24*3+K24*3)/29</f>
        <v>14.1768965517241</v>
      </c>
      <c r="N24" s="16" t="n">
        <v>1</v>
      </c>
      <c r="O24" s="18" t="n">
        <v>13.78</v>
      </c>
      <c r="P24" s="18" t="n">
        <v>12.17</v>
      </c>
      <c r="Q24" s="18" t="n">
        <v>13.69</v>
      </c>
      <c r="R24" s="17" t="n">
        <v>11.52</v>
      </c>
      <c r="S24" s="18" t="n">
        <v>16.46</v>
      </c>
      <c r="T24" s="18" t="n">
        <v>14.82</v>
      </c>
      <c r="U24" s="18" t="n">
        <v>16.5</v>
      </c>
      <c r="V24" s="20" t="n">
        <v>14.79</v>
      </c>
      <c r="W24" s="19" t="n">
        <f aca="false">(O24*5+P24*5+Q24*5+R24*4+S24*4+T24*3+U24*3+V24*5)/34</f>
        <v>14.0597058823529</v>
      </c>
      <c r="X24" s="21" t="n">
        <f aca="false">(M24+W24)/2</f>
        <v>14.1183012170385</v>
      </c>
      <c r="Y24" s="13" t="n">
        <f aca="false">COUNTIF(E24:K24,"&lt;12")+COUNTIF(O24:V24,"&lt;12")</f>
        <v>3</v>
      </c>
      <c r="Z24" s="22" t="s">
        <v>35</v>
      </c>
    </row>
    <row r="25" customFormat="false" ht="18" hidden="false" customHeight="true" outlineLevel="0" collapsed="false">
      <c r="A25" s="15" t="s">
        <v>93</v>
      </c>
      <c r="B25" s="15" t="s">
        <v>94</v>
      </c>
      <c r="C25" s="15" t="s">
        <v>95</v>
      </c>
      <c r="D25" s="16" t="n">
        <v>16</v>
      </c>
      <c r="E25" s="18" t="n">
        <v>19.25</v>
      </c>
      <c r="F25" s="18" t="n">
        <v>12.97</v>
      </c>
      <c r="G25" s="18" t="n">
        <v>13.89</v>
      </c>
      <c r="H25" s="17" t="n">
        <v>11.79</v>
      </c>
      <c r="I25" s="18" t="n">
        <v>18.52</v>
      </c>
      <c r="J25" s="18" t="n">
        <v>13.35</v>
      </c>
      <c r="K25" s="18" t="n">
        <v>17.99</v>
      </c>
      <c r="M25" s="19" t="n">
        <f aca="false">(E25*5+F25*5+G25*5+H25*4+I25*4+J25*3+K25*3)/29</f>
        <v>15.3727586206897</v>
      </c>
      <c r="N25" s="16" t="n">
        <v>8</v>
      </c>
      <c r="O25" s="18" t="n">
        <v>17.8</v>
      </c>
      <c r="P25" s="17" t="n">
        <v>10.45</v>
      </c>
      <c r="Q25" s="18" t="n">
        <v>16.88</v>
      </c>
      <c r="R25" s="18" t="n">
        <v>12.19</v>
      </c>
      <c r="S25" s="18" t="n">
        <v>18.68</v>
      </c>
      <c r="T25" s="18" t="n">
        <v>13.35</v>
      </c>
      <c r="U25" s="18" t="n">
        <v>17.26</v>
      </c>
      <c r="V25" s="17" t="n">
        <v>10.54</v>
      </c>
      <c r="W25" s="19" t="n">
        <f aca="false">(O25*5+P25*5+Q25*5+R25*4+S25*4+T25*3+U25*3+V25*5)/34</f>
        <v>14.5194117647059</v>
      </c>
      <c r="X25" s="21" t="n">
        <f aca="false">(M25+W25)/2</f>
        <v>14.9460851926978</v>
      </c>
      <c r="Y25" s="13" t="n">
        <f aca="false">COUNTIF(E25:K25,"&lt;12")+COUNTIF(O25:V25,"&lt;12")</f>
        <v>3</v>
      </c>
      <c r="Z25" s="22" t="s">
        <v>35</v>
      </c>
    </row>
    <row r="26" customFormat="false" ht="18" hidden="false" customHeight="true" outlineLevel="0" collapsed="false">
      <c r="A26" s="23" t="s">
        <v>96</v>
      </c>
      <c r="B26" s="23" t="s">
        <v>97</v>
      </c>
      <c r="C26" s="23" t="s">
        <v>98</v>
      </c>
      <c r="D26" s="16" t="n">
        <v>12</v>
      </c>
      <c r="E26" s="18" t="n">
        <v>13.19</v>
      </c>
      <c r="F26" s="17" t="n">
        <v>7.46</v>
      </c>
      <c r="G26" s="18" t="n">
        <v>13.28</v>
      </c>
      <c r="H26" s="18" t="n">
        <v>14.38</v>
      </c>
      <c r="I26" s="18" t="n">
        <v>17.87</v>
      </c>
      <c r="J26" s="18" t="n">
        <v>17.93</v>
      </c>
      <c r="K26" s="18" t="n">
        <v>12.5</v>
      </c>
      <c r="M26" s="19" t="n">
        <f aca="false">(E26*5+F26*5+G26*5+H26*4+I26*4+J26*3+K26*3)/29</f>
        <v>13.4462068965517</v>
      </c>
      <c r="N26" s="16" t="n">
        <v>12</v>
      </c>
      <c r="O26" s="18" t="n">
        <v>13.57</v>
      </c>
      <c r="P26" s="18" t="n">
        <v>12.71</v>
      </c>
      <c r="Q26" s="18" t="n">
        <v>16.03</v>
      </c>
      <c r="R26" s="18" t="n">
        <v>12.12</v>
      </c>
      <c r="S26" s="18" t="n">
        <v>15.18</v>
      </c>
      <c r="T26" s="17" t="n">
        <v>8.93</v>
      </c>
      <c r="U26" s="18" t="n">
        <v>12.87</v>
      </c>
      <c r="V26" s="20" t="n">
        <v>19.12</v>
      </c>
      <c r="W26" s="19" t="n">
        <f aca="false">(O26*5+P26*5+Q26*5+R26*4+S26*4+T26*3+U26*3+V26*5)/34</f>
        <v>14.1691176470588</v>
      </c>
      <c r="X26" s="21" t="n">
        <f aca="false">(M26+W26)/2</f>
        <v>13.8076622718053</v>
      </c>
      <c r="Y26" s="13" t="n">
        <f aca="false">COUNTIF(E26:K26,"&lt;12")+COUNTIF(O26:V26,"&lt;12")</f>
        <v>2</v>
      </c>
      <c r="Z26" s="22" t="s">
        <v>35</v>
      </c>
    </row>
    <row r="27" customFormat="false" ht="18" hidden="false" customHeight="true" outlineLevel="0" collapsed="false">
      <c r="A27" s="15" t="s">
        <v>99</v>
      </c>
      <c r="B27" s="15" t="s">
        <v>100</v>
      </c>
      <c r="C27" s="15" t="s">
        <v>101</v>
      </c>
      <c r="D27" s="16" t="n">
        <v>13</v>
      </c>
      <c r="E27" s="18" t="n">
        <v>12.55</v>
      </c>
      <c r="F27" s="18" t="n">
        <v>15.68</v>
      </c>
      <c r="G27" s="18" t="n">
        <v>18.29</v>
      </c>
      <c r="H27" s="18" t="n">
        <v>12.8</v>
      </c>
      <c r="I27" s="18" t="n">
        <v>16.95</v>
      </c>
      <c r="J27" s="17" t="n">
        <v>10.67</v>
      </c>
      <c r="K27" s="17" t="n">
        <v>11.69</v>
      </c>
      <c r="M27" s="19" t="n">
        <f aca="false">(E27*5+F27*5+G27*5+H27*4+I27*4+J27*3+K27*3)/29</f>
        <v>14.4372413793103</v>
      </c>
      <c r="N27" s="16" t="n">
        <v>3</v>
      </c>
      <c r="O27" s="18" t="n">
        <v>12.52</v>
      </c>
      <c r="P27" s="18" t="n">
        <v>13.64</v>
      </c>
      <c r="Q27" s="18" t="n">
        <v>14.07</v>
      </c>
      <c r="R27" s="18" t="n">
        <v>16.91</v>
      </c>
      <c r="S27" s="17" t="n">
        <v>9.12</v>
      </c>
      <c r="T27" s="18" t="n">
        <v>14.75</v>
      </c>
      <c r="U27" s="18" t="n">
        <v>17.89</v>
      </c>
      <c r="V27" s="20" t="n">
        <v>14.75</v>
      </c>
      <c r="W27" s="19" t="n">
        <f aca="false">(O27*5+P27*5+Q27*5+R27*4+S27*4+T27*3+U27*3+V27*5)/34</f>
        <v>14.0276470588235</v>
      </c>
      <c r="X27" s="21" t="n">
        <f aca="false">(M27+W27)/2</f>
        <v>14.2324442190669</v>
      </c>
      <c r="Y27" s="13" t="n">
        <f aca="false">COUNTIF(E27:K27,"&lt;12")+COUNTIF(O27:V27,"&lt;12")</f>
        <v>3</v>
      </c>
      <c r="Z27" s="22" t="s">
        <v>35</v>
      </c>
    </row>
    <row r="28" customFormat="false" ht="18" hidden="false" customHeight="true" outlineLevel="0" collapsed="false">
      <c r="A28" s="23" t="s">
        <v>102</v>
      </c>
      <c r="B28" s="23" t="s">
        <v>103</v>
      </c>
      <c r="C28" s="23" t="s">
        <v>104</v>
      </c>
      <c r="D28" s="16" t="n">
        <v>7</v>
      </c>
      <c r="E28" s="18" t="n">
        <v>14.19</v>
      </c>
      <c r="F28" s="18" t="n">
        <v>19.41</v>
      </c>
      <c r="G28" s="17" t="n">
        <v>10.69</v>
      </c>
      <c r="H28" s="18" t="n">
        <v>19.22</v>
      </c>
      <c r="I28" s="18" t="n">
        <v>15.23</v>
      </c>
      <c r="J28" s="17" t="n">
        <v>10.43</v>
      </c>
      <c r="K28" s="18" t="n">
        <v>14.07</v>
      </c>
      <c r="M28" s="19" t="n">
        <f aca="false">(E28*5+F28*5+G28*5+H28*4+I28*4+J28*3+K28*3)/29</f>
        <v>14.9224137931034</v>
      </c>
      <c r="N28" s="16" t="n">
        <v>12</v>
      </c>
      <c r="O28" s="18" t="n">
        <v>15.57</v>
      </c>
      <c r="P28" s="18" t="n">
        <v>16.31</v>
      </c>
      <c r="Q28" s="18" t="n">
        <v>13.86</v>
      </c>
      <c r="R28" s="18" t="n">
        <v>14.58</v>
      </c>
      <c r="S28" s="18" t="n">
        <v>13.21</v>
      </c>
      <c r="T28" s="18" t="n">
        <v>18.3</v>
      </c>
      <c r="U28" s="17" t="n">
        <v>10.58</v>
      </c>
      <c r="V28" s="20" t="n">
        <v>16.99</v>
      </c>
      <c r="W28" s="19" t="n">
        <f aca="false">(O28*5+P28*5+Q28*5+R28*4+S28*4+T28*3+U28*3+V28*5)/34</f>
        <v>15.0426470588235</v>
      </c>
      <c r="X28" s="21" t="n">
        <f aca="false">(M28+W28)/2</f>
        <v>14.9825304259635</v>
      </c>
      <c r="Y28" s="13" t="n">
        <f aca="false">COUNTIF(E28:K28,"&lt;12")+COUNTIF(O28:V28,"&lt;12")</f>
        <v>3</v>
      </c>
      <c r="Z28" s="22" t="s">
        <v>35</v>
      </c>
    </row>
    <row r="29" customFormat="false" ht="18" hidden="false" customHeight="true" outlineLevel="0" collapsed="false">
      <c r="A29" s="15" t="s">
        <v>105</v>
      </c>
      <c r="B29" s="15" t="s">
        <v>106</v>
      </c>
      <c r="C29" s="15" t="s">
        <v>107</v>
      </c>
      <c r="D29" s="16" t="n">
        <v>9</v>
      </c>
      <c r="E29" s="18" t="n">
        <v>14.06</v>
      </c>
      <c r="F29" s="18" t="n">
        <v>16.83</v>
      </c>
      <c r="G29" s="18" t="n">
        <v>17.96</v>
      </c>
      <c r="H29" s="17" t="n">
        <v>11.57</v>
      </c>
      <c r="I29" s="18" t="n">
        <v>13.27</v>
      </c>
      <c r="J29" s="17" t="n">
        <v>10.41</v>
      </c>
      <c r="K29" s="18" t="n">
        <v>12.75</v>
      </c>
      <c r="M29" s="19" t="n">
        <f aca="false">(E29*5+F29*5+G29*5+H29*4+I29*4+J29*3+K29*3)/29</f>
        <v>14.2444827586207</v>
      </c>
      <c r="N29" s="16" t="n">
        <v>10</v>
      </c>
      <c r="O29" s="18" t="n">
        <v>18.43</v>
      </c>
      <c r="P29" s="18" t="n">
        <v>18.8</v>
      </c>
      <c r="Q29" s="18" t="n">
        <v>19.09</v>
      </c>
      <c r="R29" s="17" t="n">
        <v>10.69</v>
      </c>
      <c r="S29" s="18" t="n">
        <v>17.88</v>
      </c>
      <c r="T29" s="18" t="n">
        <v>17.05</v>
      </c>
      <c r="U29" s="18" t="n">
        <v>12.85</v>
      </c>
      <c r="V29" s="20" t="n">
        <v>14.29</v>
      </c>
      <c r="W29" s="19" t="n">
        <f aca="false">(O29*5+P29*5+Q29*5+R29*4+S29*4+T29*3+U29*3+V29*5)/34</f>
        <v>16.3832352941176</v>
      </c>
      <c r="X29" s="21" t="n">
        <f aca="false">(M29+W29)/2</f>
        <v>15.3138590263692</v>
      </c>
      <c r="Y29" s="13" t="n">
        <f aca="false">COUNTIF(E29:K29,"&lt;12")+COUNTIF(O29:V29,"&lt;12")</f>
        <v>3</v>
      </c>
      <c r="Z29" s="22" t="s">
        <v>35</v>
      </c>
    </row>
    <row r="30" customFormat="false" ht="18" hidden="false" customHeight="true" outlineLevel="0" collapsed="false">
      <c r="A30" s="23" t="s">
        <v>108</v>
      </c>
      <c r="B30" s="23" t="s">
        <v>109</v>
      </c>
      <c r="C30" s="23" t="s">
        <v>110</v>
      </c>
      <c r="D30" s="16" t="n">
        <v>20</v>
      </c>
      <c r="E30" s="18" t="n">
        <v>12.1</v>
      </c>
      <c r="F30" s="17" t="n">
        <v>8.75</v>
      </c>
      <c r="G30" s="18" t="n">
        <v>18.83</v>
      </c>
      <c r="H30" s="17" t="n">
        <v>10.8</v>
      </c>
      <c r="I30" s="18" t="n">
        <v>13.16</v>
      </c>
      <c r="J30" s="18" t="n">
        <v>13.3</v>
      </c>
      <c r="K30" s="18" t="n">
        <v>18.09</v>
      </c>
      <c r="M30" s="19" t="n">
        <f aca="false">(E30*5+F30*5+G30*5+H30*4+I30*4+J30*3+K30*3)/29</f>
        <v>13.3934482758621</v>
      </c>
      <c r="N30" s="16" t="n">
        <v>14</v>
      </c>
      <c r="O30" s="18" t="n">
        <v>12.39</v>
      </c>
      <c r="P30" s="18" t="n">
        <v>12.67</v>
      </c>
      <c r="Q30" s="18" t="n">
        <v>15.38</v>
      </c>
      <c r="R30" s="18" t="n">
        <v>16.29</v>
      </c>
      <c r="S30" s="18" t="n">
        <v>18.82</v>
      </c>
      <c r="T30" s="18" t="n">
        <v>12.24</v>
      </c>
      <c r="U30" s="18" t="n">
        <v>16.28</v>
      </c>
      <c r="V30" s="17" t="n">
        <v>8.93</v>
      </c>
      <c r="W30" s="19" t="n">
        <f aca="false">(O30*5+P30*5+Q30*5+R30*4+S30*4+T30*3+U30*3+V30*5)/34</f>
        <v>13.9073529411765</v>
      </c>
      <c r="X30" s="21" t="n">
        <f aca="false">(M30+W30)/2</f>
        <v>13.6504006085193</v>
      </c>
      <c r="Y30" s="13" t="n">
        <f aca="false">COUNTIF(E30:K30,"&lt;12")+COUNTIF(O30:V30,"&lt;12")</f>
        <v>3</v>
      </c>
      <c r="Z30" s="22" t="s">
        <v>35</v>
      </c>
    </row>
    <row r="31" customFormat="false" ht="18" hidden="false" customHeight="true" outlineLevel="0" collapsed="false">
      <c r="A31" s="15" t="s">
        <v>111</v>
      </c>
      <c r="B31" s="15" t="s">
        <v>112</v>
      </c>
      <c r="C31" s="15" t="s">
        <v>113</v>
      </c>
      <c r="D31" s="16" t="n">
        <v>6</v>
      </c>
      <c r="E31" s="18" t="n">
        <v>19.14</v>
      </c>
      <c r="F31" s="18" t="n">
        <v>14.95</v>
      </c>
      <c r="G31" s="17" t="n">
        <v>11.17</v>
      </c>
      <c r="H31" s="18" t="n">
        <v>19.36</v>
      </c>
      <c r="I31" s="18" t="n">
        <v>16.84</v>
      </c>
      <c r="J31" s="18" t="n">
        <v>14.96</v>
      </c>
      <c r="K31" s="18" t="n">
        <v>17.37</v>
      </c>
      <c r="M31" s="19" t="n">
        <f aca="false">(E31*5+F31*5+G31*5+H31*4+I31*4+J31*3+K31*3)/29</f>
        <v>16.1410344827586</v>
      </c>
      <c r="N31" s="16" t="n">
        <v>20</v>
      </c>
      <c r="O31" s="18" t="n">
        <v>13.93</v>
      </c>
      <c r="P31" s="18" t="n">
        <v>14.33</v>
      </c>
      <c r="Q31" s="18" t="n">
        <v>17.16</v>
      </c>
      <c r="R31" s="17" t="n">
        <v>9.91</v>
      </c>
      <c r="S31" s="18" t="n">
        <v>16.68</v>
      </c>
      <c r="T31" s="18" t="n">
        <v>16.86</v>
      </c>
      <c r="U31" s="18" t="n">
        <v>14.45</v>
      </c>
      <c r="V31" s="17" t="n">
        <v>10.47</v>
      </c>
      <c r="W31" s="19" t="n">
        <f aca="false">(O31*5+P31*5+Q31*5+R31*4+S31*4+T31*3+U31*3+V31*5)/34</f>
        <v>14.11</v>
      </c>
      <c r="X31" s="21" t="n">
        <f aca="false">(M31+W31)/2</f>
        <v>15.1255172413793</v>
      </c>
      <c r="Y31" s="13" t="n">
        <f aca="false">COUNTIF(E31:K31,"&lt;12")+COUNTIF(O31:V31,"&lt;12")</f>
        <v>3</v>
      </c>
      <c r="Z31" s="22" t="s">
        <v>35</v>
      </c>
    </row>
    <row r="32" customFormat="false" ht="18" hidden="false" customHeight="true" outlineLevel="0" collapsed="false">
      <c r="A32" s="23" t="s">
        <v>114</v>
      </c>
      <c r="B32" s="23" t="s">
        <v>115</v>
      </c>
      <c r="C32" s="23" t="s">
        <v>116</v>
      </c>
      <c r="D32" s="16" t="n">
        <v>16</v>
      </c>
      <c r="E32" s="18" t="n">
        <v>19.05</v>
      </c>
      <c r="F32" s="18" t="n">
        <v>14.98</v>
      </c>
      <c r="G32" s="18" t="n">
        <v>12.99</v>
      </c>
      <c r="H32" s="18" t="n">
        <v>12.02</v>
      </c>
      <c r="I32" s="18" t="n">
        <v>15.58</v>
      </c>
      <c r="J32" s="18" t="n">
        <v>13.13</v>
      </c>
      <c r="K32" s="18" t="n">
        <v>18.37</v>
      </c>
      <c r="M32" s="19" t="n">
        <f aca="false">(E32*5+F32*5+G32*5+H32*4+I32*4+J32*3+K32*3)/29</f>
        <v>15.1724137931034</v>
      </c>
      <c r="N32" s="16" t="n">
        <v>9</v>
      </c>
      <c r="O32" s="18" t="n">
        <v>13.42</v>
      </c>
      <c r="P32" s="17" t="n">
        <v>8.01</v>
      </c>
      <c r="Q32" s="18" t="n">
        <v>14.6</v>
      </c>
      <c r="R32" s="18" t="n">
        <v>13.64</v>
      </c>
      <c r="S32" s="17" t="n">
        <v>10.44</v>
      </c>
      <c r="T32" s="18" t="n">
        <v>14.91</v>
      </c>
      <c r="U32" s="18" t="n">
        <v>13.85</v>
      </c>
      <c r="V32" s="17" t="n">
        <v>11.06</v>
      </c>
      <c r="W32" s="19" t="n">
        <f aca="false">(O32*5+P32*5+Q32*5+R32*4+S32*4+T32*3+U32*3+V32*5)/34</f>
        <v>12.2955882352941</v>
      </c>
      <c r="X32" s="21" t="n">
        <f aca="false">(M32+W32)/2</f>
        <v>13.7340010141988</v>
      </c>
      <c r="Y32" s="13" t="n">
        <f aca="false">COUNTIF(E32:K32,"&lt;12")+COUNTIF(O32:V32,"&lt;12")</f>
        <v>3</v>
      </c>
      <c r="Z32" s="22" t="s">
        <v>35</v>
      </c>
    </row>
    <row r="33" customFormat="false" ht="18" hidden="false" customHeight="true" outlineLevel="0" collapsed="false">
      <c r="A33" s="15" t="s">
        <v>117</v>
      </c>
      <c r="B33" s="15" t="s">
        <v>118</v>
      </c>
      <c r="C33" s="15" t="s">
        <v>119</v>
      </c>
      <c r="D33" s="16" t="n">
        <v>4</v>
      </c>
      <c r="E33" s="18" t="n">
        <v>17.4</v>
      </c>
      <c r="F33" s="18" t="n">
        <v>14.91</v>
      </c>
      <c r="G33" s="18" t="n">
        <v>13.84</v>
      </c>
      <c r="H33" s="18" t="n">
        <v>16.23</v>
      </c>
      <c r="I33" s="18" t="n">
        <v>17.15</v>
      </c>
      <c r="J33" s="18" t="n">
        <v>13.95</v>
      </c>
      <c r="K33" s="18" t="n">
        <v>14.33</v>
      </c>
      <c r="M33" s="19" t="n">
        <f aca="false">(E33*5+F33*5+G33*5+H33*4+I33*4+J33*3+K33*3)/29</f>
        <v>15.4865517241379</v>
      </c>
      <c r="N33" s="16" t="n">
        <v>15</v>
      </c>
      <c r="O33" s="18" t="n">
        <v>14.02</v>
      </c>
      <c r="P33" s="17" t="n">
        <v>11.12</v>
      </c>
      <c r="Q33" s="17" t="n">
        <v>8.53</v>
      </c>
      <c r="R33" s="17" t="n">
        <v>11.42</v>
      </c>
      <c r="S33" s="18" t="n">
        <v>15.32</v>
      </c>
      <c r="T33" s="18" t="n">
        <v>16.38</v>
      </c>
      <c r="U33" s="18" t="n">
        <v>17.85</v>
      </c>
      <c r="V33" s="20" t="n">
        <v>16.01</v>
      </c>
      <c r="W33" s="19" t="n">
        <f aca="false">(O33*5+P33*5+Q33*5+R33*4+S33*4+T33*3+U33*3+V33*5)/34</f>
        <v>13.4720588235294</v>
      </c>
      <c r="X33" s="21" t="n">
        <f aca="false">(M33+W33)/2</f>
        <v>14.4793052738337</v>
      </c>
      <c r="Y33" s="13" t="n">
        <f aca="false">COUNTIF(E33:K33,"&lt;12")+COUNTIF(O33:V33,"&lt;12")</f>
        <v>3</v>
      </c>
      <c r="Z33" s="22" t="s">
        <v>35</v>
      </c>
    </row>
    <row r="34" customFormat="false" ht="18" hidden="false" customHeight="true" outlineLevel="0" collapsed="false">
      <c r="A34" s="23" t="s">
        <v>120</v>
      </c>
      <c r="B34" s="23" t="s">
        <v>121</v>
      </c>
      <c r="C34" s="23" t="s">
        <v>122</v>
      </c>
      <c r="D34" s="16" t="n">
        <v>8</v>
      </c>
      <c r="E34" s="18" t="n">
        <v>15.78</v>
      </c>
      <c r="F34" s="18" t="n">
        <v>12.25</v>
      </c>
      <c r="G34" s="17" t="n">
        <v>11.25</v>
      </c>
      <c r="H34" s="18" t="n">
        <v>14.19</v>
      </c>
      <c r="I34" s="18" t="n">
        <v>17.87</v>
      </c>
      <c r="J34" s="18" t="n">
        <v>14.08</v>
      </c>
      <c r="K34" s="18" t="n">
        <v>12.01</v>
      </c>
      <c r="M34" s="19" t="n">
        <f aca="false">(E34*5+F34*5+G34*5+H34*4+I34*4+J34*3+K34*3)/29</f>
        <v>13.8934482758621</v>
      </c>
      <c r="N34" s="16" t="n">
        <v>0</v>
      </c>
      <c r="O34" s="18" t="n">
        <v>13.75</v>
      </c>
      <c r="P34" s="18" t="n">
        <v>14.91</v>
      </c>
      <c r="Q34" s="18" t="n">
        <v>14.35</v>
      </c>
      <c r="R34" s="18" t="n">
        <v>16.33</v>
      </c>
      <c r="S34" s="18" t="n">
        <v>12.35</v>
      </c>
      <c r="T34" s="18" t="n">
        <v>12.25</v>
      </c>
      <c r="U34" s="17" t="n">
        <v>11.26</v>
      </c>
      <c r="V34" s="17" t="n">
        <v>11.63</v>
      </c>
      <c r="W34" s="19" t="n">
        <f aca="false">(O34*5+P34*5+Q34*5+R34*4+S34*4+T34*3+U34*3+V34*5)/34</f>
        <v>13.4838235294118</v>
      </c>
      <c r="X34" s="21" t="n">
        <f aca="false">(M34+W34)/2</f>
        <v>13.6886359026369</v>
      </c>
      <c r="Y34" s="13" t="n">
        <f aca="false">COUNTIF(E34:K34,"&lt;12")+COUNTIF(O34:V34,"&lt;12")</f>
        <v>3</v>
      </c>
      <c r="Z34" s="22" t="s">
        <v>35</v>
      </c>
    </row>
    <row r="35" customFormat="false" ht="18" hidden="false" customHeight="true" outlineLevel="0" collapsed="false">
      <c r="A35" s="15" t="s">
        <v>123</v>
      </c>
      <c r="B35" s="15" t="s">
        <v>124</v>
      </c>
      <c r="C35" s="15" t="s">
        <v>125</v>
      </c>
      <c r="D35" s="16" t="n">
        <v>19</v>
      </c>
      <c r="E35" s="17" t="n">
        <v>10.77</v>
      </c>
      <c r="F35" s="18" t="n">
        <v>13.77</v>
      </c>
      <c r="G35" s="18" t="n">
        <v>14.77</v>
      </c>
      <c r="H35" s="18" t="n">
        <v>13.76</v>
      </c>
      <c r="I35" s="17" t="n">
        <v>11.1</v>
      </c>
      <c r="J35" s="18" t="n">
        <v>12.22</v>
      </c>
      <c r="K35" s="18" t="n">
        <v>16.34</v>
      </c>
      <c r="M35" s="19" t="n">
        <f aca="false">(E35*5+F35*5+G35*5+H35*4+I35*4+J35*3+K35*3)/29</f>
        <v>13.1610344827586</v>
      </c>
      <c r="N35" s="16" t="n">
        <v>1</v>
      </c>
      <c r="O35" s="18" t="n">
        <v>14.6</v>
      </c>
      <c r="P35" s="17" t="n">
        <v>11.75</v>
      </c>
      <c r="Q35" s="18" t="n">
        <v>15.8</v>
      </c>
      <c r="R35" s="18" t="n">
        <v>13.25</v>
      </c>
      <c r="S35" s="18" t="n">
        <v>17.42</v>
      </c>
      <c r="T35" s="18" t="n">
        <v>17.08</v>
      </c>
      <c r="U35" s="18" t="n">
        <v>12.15</v>
      </c>
      <c r="V35" s="20" t="n">
        <v>17.77</v>
      </c>
      <c r="W35" s="19" t="n">
        <f aca="false">(O35*5+P35*5+Q35*5+R35*4+S35*4+T35*3+U35*3+V35*5)/34</f>
        <v>14.9991176470588</v>
      </c>
      <c r="X35" s="21" t="n">
        <f aca="false">(M35+W35)/2</f>
        <v>14.0800760649087</v>
      </c>
      <c r="Y35" s="13" t="n">
        <f aca="false">COUNTIF(E35:K35,"&lt;12")+COUNTIF(O35:V35,"&lt;12")</f>
        <v>3</v>
      </c>
      <c r="Z35" s="22" t="s">
        <v>35</v>
      </c>
    </row>
    <row r="36" customFormat="false" ht="18" hidden="false" customHeight="true" outlineLevel="0" collapsed="false">
      <c r="A36" s="23" t="s">
        <v>126</v>
      </c>
      <c r="B36" s="23" t="s">
        <v>127</v>
      </c>
      <c r="C36" s="23" t="s">
        <v>128</v>
      </c>
      <c r="D36" s="16" t="n">
        <v>5</v>
      </c>
      <c r="E36" s="18" t="n">
        <v>13.53</v>
      </c>
      <c r="F36" s="18" t="n">
        <v>13.37</v>
      </c>
      <c r="G36" s="18" t="n">
        <v>18.32</v>
      </c>
      <c r="H36" s="17" t="n">
        <v>11.37</v>
      </c>
      <c r="I36" s="18" t="n">
        <v>16.09</v>
      </c>
      <c r="J36" s="18" t="n">
        <v>17.24</v>
      </c>
      <c r="K36" s="18" t="n">
        <v>17.19</v>
      </c>
      <c r="M36" s="19" t="n">
        <f aca="false">(E36*5+F36*5+G36*5+H36*4+I36*4+J36*3+K36*3)/29</f>
        <v>15.1458620689655</v>
      </c>
      <c r="N36" s="16" t="n">
        <v>2</v>
      </c>
      <c r="O36" s="17" t="n">
        <v>9.95</v>
      </c>
      <c r="P36" s="18" t="n">
        <v>14.29</v>
      </c>
      <c r="Q36" s="17" t="n">
        <v>9.47</v>
      </c>
      <c r="R36" s="18" t="n">
        <v>14.53</v>
      </c>
      <c r="S36" s="18" t="n">
        <v>16.5</v>
      </c>
      <c r="T36" s="18" t="n">
        <v>15.19</v>
      </c>
      <c r="U36" s="18" t="n">
        <v>14.3</v>
      </c>
      <c r="V36" s="20" t="n">
        <v>16.66</v>
      </c>
      <c r="W36" s="19" t="n">
        <f aca="false">(O36*5+P36*5+Q36*5+R36*4+S36*4+T36*3+U36*3+V36*5)/34</f>
        <v>13.66</v>
      </c>
      <c r="X36" s="21" t="n">
        <f aca="false">(M36+W36)/2</f>
        <v>14.4029310344828</v>
      </c>
      <c r="Y36" s="13" t="n">
        <f aca="false">COUNTIF(E36:K36,"&lt;12")+COUNTIF(O36:V36,"&lt;12")</f>
        <v>3</v>
      </c>
      <c r="Z36" s="22" t="s">
        <v>35</v>
      </c>
    </row>
    <row r="37" customFormat="false" ht="18" hidden="false" customHeight="true" outlineLevel="0" collapsed="false">
      <c r="A37" s="15" t="s">
        <v>129</v>
      </c>
      <c r="B37" s="15" t="s">
        <v>130</v>
      </c>
      <c r="C37" s="15" t="s">
        <v>131</v>
      </c>
      <c r="D37" s="16" t="n">
        <v>1</v>
      </c>
      <c r="E37" s="18" t="n">
        <v>15.06</v>
      </c>
      <c r="F37" s="18" t="n">
        <v>19.22</v>
      </c>
      <c r="G37" s="17" t="n">
        <v>8.13</v>
      </c>
      <c r="H37" s="18" t="n">
        <v>14.43</v>
      </c>
      <c r="I37" s="17" t="n">
        <v>11.81</v>
      </c>
      <c r="J37" s="18" t="n">
        <v>14.25</v>
      </c>
      <c r="K37" s="18" t="n">
        <v>18.93</v>
      </c>
      <c r="M37" s="19" t="n">
        <f aca="false">(E37*5+F37*5+G37*5+H37*4+I37*4+J37*3+K37*3)/29</f>
        <v>14.3637931034483</v>
      </c>
      <c r="N37" s="16" t="n">
        <v>11</v>
      </c>
      <c r="O37" s="18" t="n">
        <v>16.24</v>
      </c>
      <c r="P37" s="18" t="n">
        <v>13.41</v>
      </c>
      <c r="Q37" s="18" t="n">
        <v>18.36</v>
      </c>
      <c r="R37" s="18" t="n">
        <v>14.15</v>
      </c>
      <c r="S37" s="17" t="n">
        <v>9.35</v>
      </c>
      <c r="T37" s="18" t="n">
        <v>14.56</v>
      </c>
      <c r="U37" s="18" t="n">
        <v>13.27</v>
      </c>
      <c r="V37" s="20" t="n">
        <v>18.97</v>
      </c>
      <c r="W37" s="19" t="n">
        <f aca="false">(O37*5+P37*5+Q37*5+R37*4+S37*4+T37*3+U37*3+V37*5)/34</f>
        <v>15.0702941176471</v>
      </c>
      <c r="X37" s="21" t="n">
        <f aca="false">(M37+W37)/2</f>
        <v>14.7170436105477</v>
      </c>
      <c r="Y37" s="13" t="n">
        <f aca="false">COUNTIF(E37:K37,"&lt;12")+COUNTIF(O37:V37,"&lt;12")</f>
        <v>3</v>
      </c>
      <c r="Z37" s="22" t="s">
        <v>35</v>
      </c>
    </row>
    <row r="38" customFormat="false" ht="18" hidden="false" customHeight="true" outlineLevel="0" collapsed="false">
      <c r="A38" s="23" t="s">
        <v>132</v>
      </c>
      <c r="B38" s="23" t="s">
        <v>133</v>
      </c>
      <c r="C38" s="23" t="s">
        <v>134</v>
      </c>
      <c r="D38" s="16" t="n">
        <v>20</v>
      </c>
      <c r="E38" s="17" t="n">
        <v>11.12</v>
      </c>
      <c r="F38" s="18" t="n">
        <v>13.97</v>
      </c>
      <c r="G38" s="17" t="n">
        <v>11.83</v>
      </c>
      <c r="H38" s="18" t="n">
        <v>13.97</v>
      </c>
      <c r="I38" s="18" t="n">
        <v>17.64</v>
      </c>
      <c r="J38" s="18" t="n">
        <v>19.06</v>
      </c>
      <c r="K38" s="18" t="n">
        <v>14.53</v>
      </c>
      <c r="M38" s="19" t="n">
        <f aca="false">(E38*5+F38*5+G38*5+H38*4+I38*4+J38*3+K38*3)/29</f>
        <v>14.2003448275862</v>
      </c>
      <c r="N38" s="16" t="n">
        <v>20</v>
      </c>
      <c r="O38" s="18" t="n">
        <v>13.72</v>
      </c>
      <c r="P38" s="18" t="n">
        <v>14.16</v>
      </c>
      <c r="Q38" s="18" t="n">
        <v>15.3</v>
      </c>
      <c r="R38" s="18" t="n">
        <v>18.46</v>
      </c>
      <c r="S38" s="17" t="n">
        <v>10.88</v>
      </c>
      <c r="T38" s="18" t="n">
        <v>15.2</v>
      </c>
      <c r="U38" s="18" t="n">
        <v>15.28</v>
      </c>
      <c r="V38" s="20" t="n">
        <v>12.35</v>
      </c>
      <c r="W38" s="19" t="n">
        <f aca="false">(O38*5+P38*5+Q38*5+R38*4+S38*4+T38*3+U38*3+V38*5)/34</f>
        <v>14.3073529411765</v>
      </c>
      <c r="X38" s="21" t="n">
        <f aca="false">(M38+W38)/2</f>
        <v>14.2538488843813</v>
      </c>
      <c r="Y38" s="13" t="n">
        <f aca="false">COUNTIF(E38:K38,"&lt;12")+COUNTIF(O38:V38,"&lt;12")</f>
        <v>3</v>
      </c>
      <c r="Z38" s="22" t="s">
        <v>35</v>
      </c>
    </row>
    <row r="39" customFormat="false" ht="18" hidden="false" customHeight="true" outlineLevel="0" collapsed="false">
      <c r="A39" s="15" t="s">
        <v>135</v>
      </c>
      <c r="B39" s="15" t="s">
        <v>136</v>
      </c>
      <c r="C39" s="15" t="s">
        <v>137</v>
      </c>
      <c r="D39" s="16" t="n">
        <v>14</v>
      </c>
      <c r="E39" s="18" t="n">
        <v>15.45</v>
      </c>
      <c r="F39" s="18" t="n">
        <v>12.92</v>
      </c>
      <c r="G39" s="18" t="n">
        <v>12.55</v>
      </c>
      <c r="H39" s="17" t="n">
        <v>10.56</v>
      </c>
      <c r="I39" s="18" t="n">
        <v>16.36</v>
      </c>
      <c r="J39" s="18" t="n">
        <v>12.61</v>
      </c>
      <c r="K39" s="18" t="n">
        <v>13.68</v>
      </c>
      <c r="M39" s="19" t="n">
        <f aca="false">(E39*5+F39*5+G39*5+H39*4+I39*4+J39*3+K39*3)/29</f>
        <v>13.4879310344828</v>
      </c>
      <c r="N39" s="16" t="n">
        <v>1</v>
      </c>
      <c r="O39" s="17" t="n">
        <v>10.87</v>
      </c>
      <c r="P39" s="18" t="n">
        <v>17.11</v>
      </c>
      <c r="Q39" s="18" t="n">
        <v>12.86</v>
      </c>
      <c r="R39" s="18" t="n">
        <v>17.44</v>
      </c>
      <c r="S39" s="17" t="n">
        <v>11.6</v>
      </c>
      <c r="T39" s="18" t="n">
        <v>18.84</v>
      </c>
      <c r="U39" s="18" t="n">
        <v>19.31</v>
      </c>
      <c r="V39" s="20" t="n">
        <v>12.77</v>
      </c>
      <c r="W39" s="19" t="n">
        <f aca="false">(O39*5+P39*5+Q39*5+R39*4+S39*4+T39*3+U39*3+V39*5)/34</f>
        <v>14.6664705882353</v>
      </c>
      <c r="X39" s="21" t="n">
        <f aca="false">(M39+W39)/2</f>
        <v>14.077200811359</v>
      </c>
      <c r="Y39" s="13" t="n">
        <f aca="false">COUNTIF(E39:K39,"&lt;12")+COUNTIF(O39:V39,"&lt;12")</f>
        <v>3</v>
      </c>
      <c r="Z39" s="22" t="s">
        <v>35</v>
      </c>
    </row>
  </sheetData>
  <mergeCells count="5">
    <mergeCell ref="A1:Z1"/>
    <mergeCell ref="A2:C2"/>
    <mergeCell ref="D2:M2"/>
    <mergeCell ref="N2:W2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4" min="4" style="1" width="11"/>
    <col collapsed="false" customWidth="true" hidden="false" outlineLevel="0" max="11" min="5" style="1" width="20"/>
    <col collapsed="false" customWidth="true" hidden="false" outlineLevel="0" max="12" min="12" style="1" width="3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22" min="15" style="1" width="20"/>
    <col collapsed="false" customWidth="true" hidden="false" outlineLevel="0" max="23" min="23" style="1" width="13"/>
    <col collapsed="false" customWidth="true" hidden="false" outlineLevel="0" max="24" min="24" style="1" width="15"/>
    <col collapsed="false" customWidth="true" hidden="false" outlineLevel="0" max="25" min="25" style="1" width="14"/>
    <col collapsed="false" customWidth="true" hidden="false" outlineLevel="0" max="26" min="26" style="1" width="12"/>
  </cols>
  <sheetData>
    <row r="1" customFormat="false" ht="31.5" hidden="false" customHeight="true" outlineLevel="0" collapsed="false">
      <c r="A1" s="2" t="s">
        <v>138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21.75" hidden="false" customHeight="true" outlineLevel="0" collapsed="false">
      <c r="A2" s="3" t="s">
        <v>1</v>
      </c>
      <c r="B2" s="3"/>
      <c r="C2" s="3"/>
      <c r="D2" s="3" t="s">
        <v>139</v>
      </c>
      <c r="E2" s="3"/>
      <c r="F2" s="3"/>
      <c r="G2" s="3"/>
      <c r="H2" s="3"/>
      <c r="I2" s="3"/>
      <c r="J2" s="3"/>
      <c r="K2" s="3"/>
      <c r="L2" s="3"/>
      <c r="M2" s="3"/>
      <c r="N2" s="3" t="s">
        <v>140</v>
      </c>
      <c r="O2" s="3"/>
      <c r="P2" s="3"/>
      <c r="Q2" s="3"/>
      <c r="R2" s="3"/>
      <c r="S2" s="3"/>
      <c r="T2" s="3"/>
      <c r="U2" s="3"/>
      <c r="V2" s="3"/>
      <c r="W2" s="3"/>
      <c r="X2" s="4"/>
      <c r="Y2" s="4"/>
      <c r="Z2" s="4"/>
    </row>
    <row r="3" customFormat="false" ht="15" hidden="false" customHeight="true" outlineLevel="0" collapsed="false">
      <c r="A3" s="5"/>
      <c r="B3" s="5"/>
      <c r="C3" s="5"/>
      <c r="D3" s="6"/>
      <c r="E3" s="6" t="s">
        <v>4</v>
      </c>
      <c r="F3" s="6" t="s">
        <v>4</v>
      </c>
      <c r="G3" s="6" t="s">
        <v>4</v>
      </c>
      <c r="H3" s="6" t="s">
        <v>5</v>
      </c>
      <c r="I3" s="6" t="s">
        <v>5</v>
      </c>
      <c r="J3" s="6" t="s">
        <v>6</v>
      </c>
      <c r="K3" s="6" t="s">
        <v>6</v>
      </c>
      <c r="M3" s="6"/>
      <c r="N3" s="6"/>
      <c r="O3" s="6" t="s">
        <v>4</v>
      </c>
      <c r="P3" s="6" t="s">
        <v>4</v>
      </c>
      <c r="Q3" s="6" t="s">
        <v>4</v>
      </c>
      <c r="R3" s="6" t="s">
        <v>5</v>
      </c>
      <c r="S3" s="6" t="s">
        <v>5</v>
      </c>
      <c r="T3" s="6" t="s">
        <v>6</v>
      </c>
      <c r="U3" s="6" t="s">
        <v>6</v>
      </c>
      <c r="V3" s="6" t="s">
        <v>4</v>
      </c>
      <c r="W3" s="6"/>
      <c r="X3" s="6"/>
      <c r="Y3" s="6"/>
      <c r="Z3" s="6"/>
    </row>
    <row r="4" customFormat="false" ht="51.75" hidden="false" customHeight="true" outlineLevel="0" collapsed="false">
      <c r="A4" s="7" t="s">
        <v>7</v>
      </c>
      <c r="B4" s="7" t="s">
        <v>8</v>
      </c>
      <c r="C4" s="7" t="s">
        <v>9</v>
      </c>
      <c r="D4" s="4" t="s">
        <v>141</v>
      </c>
      <c r="E4" s="8" t="s">
        <v>142</v>
      </c>
      <c r="F4" s="8" t="s">
        <v>143</v>
      </c>
      <c r="G4" s="8" t="s">
        <v>144</v>
      </c>
      <c r="H4" s="8" t="s">
        <v>145</v>
      </c>
      <c r="I4" s="8" t="s">
        <v>146</v>
      </c>
      <c r="J4" s="8" t="s">
        <v>147</v>
      </c>
      <c r="K4" s="8" t="s">
        <v>148</v>
      </c>
      <c r="M4" s="9" t="s">
        <v>149</v>
      </c>
      <c r="N4" s="4" t="s">
        <v>150</v>
      </c>
      <c r="O4" s="10" t="s">
        <v>151</v>
      </c>
      <c r="P4" s="10" t="s">
        <v>152</v>
      </c>
      <c r="Q4" s="10" t="s">
        <v>153</v>
      </c>
      <c r="R4" s="10" t="s">
        <v>154</v>
      </c>
      <c r="S4" s="10" t="s">
        <v>155</v>
      </c>
      <c r="T4" s="10" t="s">
        <v>156</v>
      </c>
      <c r="U4" s="10" t="s">
        <v>157</v>
      </c>
      <c r="V4" s="11" t="s">
        <v>158</v>
      </c>
      <c r="W4" s="9" t="s">
        <v>159</v>
      </c>
      <c r="X4" s="12" t="s">
        <v>160</v>
      </c>
      <c r="Y4" s="13" t="s">
        <v>30</v>
      </c>
      <c r="Z4" s="14" t="s">
        <v>31</v>
      </c>
    </row>
    <row r="5" customFormat="false" ht="18" hidden="false" customHeight="true" outlineLevel="0" collapsed="false">
      <c r="A5" s="15" t="s">
        <v>32</v>
      </c>
      <c r="B5" s="15" t="s">
        <v>33</v>
      </c>
      <c r="C5" s="15" t="s">
        <v>34</v>
      </c>
      <c r="D5" s="16" t="n">
        <v>0</v>
      </c>
      <c r="E5" s="18" t="n">
        <v>12.66</v>
      </c>
      <c r="F5" s="18" t="n">
        <v>12.28</v>
      </c>
      <c r="G5" s="18" t="n">
        <v>14.34</v>
      </c>
      <c r="H5" s="18" t="n">
        <v>12.3</v>
      </c>
      <c r="I5" s="18" t="n">
        <v>16.54</v>
      </c>
      <c r="J5" s="18" t="n">
        <v>14.67</v>
      </c>
      <c r="K5" s="17" t="n">
        <v>11.75</v>
      </c>
      <c r="M5" s="19" t="n">
        <f aca="false">(E5*5+F5*5+G5*5+H5*4+I5*4+J5*3+K5*3)/29</f>
        <v>13.4834482758621</v>
      </c>
      <c r="N5" s="16" t="n">
        <v>8</v>
      </c>
      <c r="O5" s="17" t="n">
        <v>11.49</v>
      </c>
      <c r="P5" s="17" t="n">
        <v>11.3</v>
      </c>
      <c r="Q5" s="18" t="n">
        <v>14.02</v>
      </c>
      <c r="R5" s="18" t="n">
        <v>12.95</v>
      </c>
      <c r="S5" s="18" t="n">
        <v>12.74</v>
      </c>
      <c r="T5" s="18" t="n">
        <v>13.15</v>
      </c>
      <c r="U5" s="18" t="n">
        <v>18.53</v>
      </c>
      <c r="V5" s="20" t="n">
        <v>13.92</v>
      </c>
      <c r="W5" s="19" t="n">
        <f aca="false">(O5*5+P5*5+Q5*5+R5*4+S5*4+T5*3+U5*3+V5*5)/34</f>
        <v>13.2779411764706</v>
      </c>
      <c r="X5" s="21" t="n">
        <f aca="false">(M5+W5)/2</f>
        <v>13.3806947261663</v>
      </c>
      <c r="Y5" s="13" t="n">
        <f aca="false">COUNTIF(E5:K5,"&lt;12")+COUNTIF(O5:V5,"&lt;12")</f>
        <v>3</v>
      </c>
      <c r="Z5" s="24" t="str">
        <f aca="false">IF(OR(X5&lt;12,Y5&gt;3),"Oui","Non")</f>
        <v>Non</v>
      </c>
    </row>
    <row r="6" customFormat="false" ht="18" hidden="false" customHeight="true" outlineLevel="0" collapsed="false">
      <c r="A6" s="23" t="s">
        <v>36</v>
      </c>
      <c r="B6" s="23" t="s">
        <v>37</v>
      </c>
      <c r="C6" s="23" t="s">
        <v>38</v>
      </c>
      <c r="D6" s="16" t="n">
        <v>3</v>
      </c>
      <c r="E6" s="18" t="n">
        <v>13.8</v>
      </c>
      <c r="F6" s="17" t="n">
        <v>10.94</v>
      </c>
      <c r="G6" s="18" t="n">
        <v>13.58</v>
      </c>
      <c r="H6" s="18" t="n">
        <v>14.7</v>
      </c>
      <c r="I6" s="18" t="n">
        <v>18.79</v>
      </c>
      <c r="J6" s="18" t="n">
        <v>17.95</v>
      </c>
      <c r="K6" s="17" t="n">
        <v>10.93</v>
      </c>
      <c r="M6" s="19" t="n">
        <f aca="false">(E6*5+F6*5+G6*5+H6*4+I6*4+J6*3+K6*3)/29</f>
        <v>14.2137931034483</v>
      </c>
      <c r="N6" s="16" t="n">
        <v>12</v>
      </c>
      <c r="O6" s="18" t="n">
        <v>15.19</v>
      </c>
      <c r="P6" s="17" t="n">
        <v>11.95</v>
      </c>
      <c r="Q6" s="18" t="n">
        <v>18.43</v>
      </c>
      <c r="R6" s="18" t="n">
        <v>12.74</v>
      </c>
      <c r="S6" s="18" t="n">
        <v>14.99</v>
      </c>
      <c r="T6" s="18" t="n">
        <v>13.26</v>
      </c>
      <c r="U6" s="18" t="n">
        <v>14.02</v>
      </c>
      <c r="V6" s="20" t="n">
        <v>12.74</v>
      </c>
      <c r="W6" s="19" t="n">
        <f aca="false">(O6*5+P6*5+Q6*5+R6*4+S6*4+T6*3+U6*3+V6*5)/34</f>
        <v>14.2444117647059</v>
      </c>
      <c r="X6" s="21" t="n">
        <f aca="false">(M6+W6)/2</f>
        <v>14.2291024340771</v>
      </c>
      <c r="Y6" s="13" t="n">
        <f aca="false">COUNTIF(E6:K6,"&lt;12")+COUNTIF(O6:V6,"&lt;12")</f>
        <v>3</v>
      </c>
      <c r="Z6" s="24" t="str">
        <f aca="false">IF(OR(X6&lt;12,Y6&gt;3),"Oui","Non")</f>
        <v>Non</v>
      </c>
    </row>
    <row r="7" customFormat="false" ht="18" hidden="false" customHeight="true" outlineLevel="0" collapsed="false">
      <c r="A7" s="15" t="s">
        <v>39</v>
      </c>
      <c r="B7" s="15" t="s">
        <v>40</v>
      </c>
      <c r="C7" s="15" t="s">
        <v>41</v>
      </c>
      <c r="D7" s="16" t="n">
        <v>3</v>
      </c>
      <c r="E7" s="18" t="n">
        <v>12.43</v>
      </c>
      <c r="F7" s="18" t="n">
        <v>12.67</v>
      </c>
      <c r="G7" s="18" t="n">
        <v>18.92</v>
      </c>
      <c r="H7" s="18" t="n">
        <v>17.95</v>
      </c>
      <c r="I7" s="17" t="n">
        <v>10.29</v>
      </c>
      <c r="J7" s="18" t="n">
        <v>13.26</v>
      </c>
      <c r="K7" s="17" t="n">
        <v>9.23</v>
      </c>
      <c r="M7" s="19" t="n">
        <f aca="false">(E7*5+F7*5+G7*5+H7*4+I7*4+J7*3+K7*3)/29</f>
        <v>13.8113793103448</v>
      </c>
      <c r="N7" s="16" t="n">
        <v>4</v>
      </c>
      <c r="O7" s="18" t="n">
        <v>18.41</v>
      </c>
      <c r="P7" s="18" t="n">
        <v>17.88</v>
      </c>
      <c r="Q7" s="17" t="n">
        <v>10.73</v>
      </c>
      <c r="R7" s="18" t="n">
        <v>14.99</v>
      </c>
      <c r="S7" s="18" t="n">
        <v>14.61</v>
      </c>
      <c r="T7" s="18" t="n">
        <v>14.36</v>
      </c>
      <c r="U7" s="18" t="n">
        <v>16.53</v>
      </c>
      <c r="V7" s="20" t="n">
        <v>13.74</v>
      </c>
      <c r="W7" s="19" t="n">
        <f aca="false">(O7*5+P7*5+Q7*5+R7*4+S7*4+T7*3+U7*3+V7*5)/34</f>
        <v>15.1432352941176</v>
      </c>
      <c r="X7" s="21" t="n">
        <f aca="false">(M7+W7)/2</f>
        <v>14.4773073022312</v>
      </c>
      <c r="Y7" s="13" t="n">
        <f aca="false">COUNTIF(E7:K7,"&lt;12")+COUNTIF(O7:V7,"&lt;12")</f>
        <v>3</v>
      </c>
      <c r="Z7" s="24" t="str">
        <f aca="false">IF(OR(X7&lt;12,Y7&gt;3),"Oui","Non")</f>
        <v>Non</v>
      </c>
    </row>
    <row r="8" customFormat="false" ht="18" hidden="false" customHeight="true" outlineLevel="0" collapsed="false">
      <c r="A8" s="23" t="s">
        <v>42</v>
      </c>
      <c r="B8" s="23" t="s">
        <v>43</v>
      </c>
      <c r="C8" s="23" t="s">
        <v>44</v>
      </c>
      <c r="D8" s="16" t="n">
        <v>19</v>
      </c>
      <c r="E8" s="18" t="n">
        <v>14.58</v>
      </c>
      <c r="F8" s="18" t="n">
        <v>19.05</v>
      </c>
      <c r="G8" s="18" t="n">
        <v>18.61</v>
      </c>
      <c r="H8" s="18" t="n">
        <v>16.44</v>
      </c>
      <c r="I8" s="18" t="n">
        <v>15.62</v>
      </c>
      <c r="J8" s="18" t="n">
        <v>15.91</v>
      </c>
      <c r="K8" s="17" t="n">
        <v>11.99</v>
      </c>
      <c r="M8" s="19" t="n">
        <f aca="false">(E8*5+F8*5+G8*5+H8*4+I8*4+J8*3+K8*3)/29</f>
        <v>16.3151724137931</v>
      </c>
      <c r="N8" s="16" t="n">
        <v>10</v>
      </c>
      <c r="O8" s="18" t="n">
        <v>15.4</v>
      </c>
      <c r="P8" s="17" t="n">
        <v>11.67</v>
      </c>
      <c r="Q8" s="18" t="n">
        <v>18.25</v>
      </c>
      <c r="R8" s="18" t="n">
        <v>12.64</v>
      </c>
      <c r="S8" s="17" t="n">
        <v>10.1</v>
      </c>
      <c r="T8" s="18" t="n">
        <v>12.12</v>
      </c>
      <c r="U8" s="18" t="n">
        <v>13.81</v>
      </c>
      <c r="V8" s="20" t="n">
        <v>13.92</v>
      </c>
      <c r="W8" s="19" t="n">
        <f aca="false">(O8*5+P8*5+Q8*5+R8*4+S8*4+T8*3+U8*3+V8*5)/34</f>
        <v>13.675</v>
      </c>
      <c r="X8" s="21" t="n">
        <f aca="false">(M8+W8)/2</f>
        <v>14.9950862068966</v>
      </c>
      <c r="Y8" s="13" t="n">
        <f aca="false">COUNTIF(E8:K8,"&lt;12")+COUNTIF(O8:V8,"&lt;12")</f>
        <v>3</v>
      </c>
      <c r="Z8" s="24" t="str">
        <f aca="false">IF(OR(X8&lt;12,Y8&gt;3),"Oui","Non")</f>
        <v>Non</v>
      </c>
    </row>
    <row r="9" customFormat="false" ht="18" hidden="false" customHeight="true" outlineLevel="0" collapsed="false">
      <c r="A9" s="15" t="s">
        <v>45</v>
      </c>
      <c r="B9" s="15" t="s">
        <v>46</v>
      </c>
      <c r="C9" s="15" t="s">
        <v>47</v>
      </c>
      <c r="D9" s="16" t="n">
        <v>7</v>
      </c>
      <c r="E9" s="18" t="n">
        <v>15.42</v>
      </c>
      <c r="F9" s="18" t="n">
        <v>19.3</v>
      </c>
      <c r="G9" s="18" t="n">
        <v>13.7</v>
      </c>
      <c r="H9" s="18" t="n">
        <v>12.03</v>
      </c>
      <c r="I9" s="17" t="n">
        <v>11.24</v>
      </c>
      <c r="J9" s="18" t="n">
        <v>17.77</v>
      </c>
      <c r="K9" s="18" t="n">
        <v>15</v>
      </c>
      <c r="M9" s="19" t="n">
        <f aca="false">(E9*5+F9*5+G9*5+H9*4+I9*4+J9*3+K9*3)/29</f>
        <v>14.9479310344828</v>
      </c>
      <c r="N9" s="16" t="n">
        <v>2</v>
      </c>
      <c r="O9" s="18" t="n">
        <v>12.25</v>
      </c>
      <c r="P9" s="18" t="n">
        <v>12.61</v>
      </c>
      <c r="Q9" s="18" t="n">
        <v>12.27</v>
      </c>
      <c r="R9" s="17" t="n">
        <v>10.48</v>
      </c>
      <c r="S9" s="17" t="n">
        <v>10.12</v>
      </c>
      <c r="T9" s="18" t="n">
        <v>18.54</v>
      </c>
      <c r="U9" s="18" t="n">
        <v>12.54</v>
      </c>
      <c r="V9" s="20" t="n">
        <v>17.77</v>
      </c>
      <c r="W9" s="19" t="n">
        <f aca="false">(O9*5+P9*5+Q9*5+R9*4+S9*4+T9*3+U9*3+V9*5)/34</f>
        <v>13.2394117647059</v>
      </c>
      <c r="X9" s="21" t="n">
        <f aca="false">(M9+W9)/2</f>
        <v>14.0936713995943</v>
      </c>
      <c r="Y9" s="13" t="n">
        <f aca="false">COUNTIF(E9:K9,"&lt;12")+COUNTIF(O9:V9,"&lt;12")</f>
        <v>3</v>
      </c>
      <c r="Z9" s="24" t="str">
        <f aca="false">IF(OR(X9&lt;12,Y9&gt;3),"Oui","Non")</f>
        <v>Non</v>
      </c>
    </row>
    <row r="10" customFormat="false" ht="18" hidden="false" customHeight="true" outlineLevel="0" collapsed="false">
      <c r="A10" s="23" t="s">
        <v>48</v>
      </c>
      <c r="B10" s="23" t="s">
        <v>49</v>
      </c>
      <c r="C10" s="23" t="s">
        <v>50</v>
      </c>
      <c r="D10" s="16" t="n">
        <v>7</v>
      </c>
      <c r="E10" s="17" t="n">
        <v>9.72</v>
      </c>
      <c r="F10" s="18" t="n">
        <v>13.75</v>
      </c>
      <c r="G10" s="18" t="n">
        <v>16.2</v>
      </c>
      <c r="H10" s="18" t="n">
        <v>13.78</v>
      </c>
      <c r="I10" s="17" t="n">
        <v>10.92</v>
      </c>
      <c r="J10" s="18" t="n">
        <v>13.27</v>
      </c>
      <c r="K10" s="18" t="n">
        <v>12.96</v>
      </c>
      <c r="M10" s="19" t="n">
        <f aca="false">(E10*5+F10*5+G10*5+H10*4+I10*4+J10*3+K10*3)/29</f>
        <v>12.96</v>
      </c>
      <c r="N10" s="16" t="n">
        <v>5</v>
      </c>
      <c r="O10" s="18" t="n">
        <v>18.49</v>
      </c>
      <c r="P10" s="18" t="n">
        <v>13.64</v>
      </c>
      <c r="Q10" s="18" t="n">
        <v>14.83</v>
      </c>
      <c r="R10" s="18" t="n">
        <v>13.35</v>
      </c>
      <c r="S10" s="18" t="n">
        <v>17.64</v>
      </c>
      <c r="T10" s="17" t="n">
        <v>7.86</v>
      </c>
      <c r="U10" s="18" t="n">
        <v>12.22</v>
      </c>
      <c r="V10" s="20" t="n">
        <v>17.77</v>
      </c>
      <c r="W10" s="19" t="n">
        <f aca="false">(O10*5+P10*5+Q10*5+R10*4+S10*4+T10*3+U10*3+V10*5)/34</f>
        <v>14.9367647058824</v>
      </c>
      <c r="X10" s="21" t="n">
        <f aca="false">(M10+W10)/2</f>
        <v>13.9483823529412</v>
      </c>
      <c r="Y10" s="13" t="n">
        <f aca="false">COUNTIF(E10:K10,"&lt;12")+COUNTIF(O10:V10,"&lt;12")</f>
        <v>3</v>
      </c>
      <c r="Z10" s="24" t="str">
        <f aca="false">IF(OR(X10&lt;12,Y10&gt;3),"Oui","Non")</f>
        <v>Non</v>
      </c>
    </row>
    <row r="11" customFormat="false" ht="18" hidden="false" customHeight="true" outlineLevel="0" collapsed="false">
      <c r="A11" s="15" t="s">
        <v>51</v>
      </c>
      <c r="B11" s="15" t="s">
        <v>52</v>
      </c>
      <c r="C11" s="15" t="s">
        <v>53</v>
      </c>
      <c r="D11" s="16" t="n">
        <v>18</v>
      </c>
      <c r="E11" s="18" t="n">
        <v>17.99</v>
      </c>
      <c r="F11" s="17" t="n">
        <v>11.62</v>
      </c>
      <c r="G11" s="17" t="n">
        <v>8.97</v>
      </c>
      <c r="H11" s="18" t="n">
        <v>17.42</v>
      </c>
      <c r="I11" s="18" t="n">
        <v>15.79</v>
      </c>
      <c r="J11" s="18" t="n">
        <v>14.65</v>
      </c>
      <c r="K11" s="18" t="n">
        <v>19.34</v>
      </c>
      <c r="M11" s="19" t="n">
        <f aca="false">(E11*5+F11*5+G11*5+H11*4+I11*4+J11*3+K11*3)/29</f>
        <v>14.7486206896552</v>
      </c>
      <c r="N11" s="16" t="n">
        <v>18</v>
      </c>
      <c r="O11" s="18" t="n">
        <v>15.17</v>
      </c>
      <c r="P11" s="18" t="n">
        <v>12.41</v>
      </c>
      <c r="Q11" s="18" t="n">
        <v>17.21</v>
      </c>
      <c r="R11" s="17" t="n">
        <v>10.74</v>
      </c>
      <c r="S11" s="18" t="n">
        <v>15.29</v>
      </c>
      <c r="T11" s="18" t="n">
        <v>18.74</v>
      </c>
      <c r="U11" s="18" t="n">
        <v>12.89</v>
      </c>
      <c r="V11" s="20" t="n">
        <v>13.7</v>
      </c>
      <c r="W11" s="19" t="n">
        <f aca="false">(O11*5+P11*5+Q11*5+R11*4+S11*4+T11*3+U11*3+V11*5)/34</f>
        <v>14.4547058823529</v>
      </c>
      <c r="X11" s="21" t="n">
        <f aca="false">(M11+W11)/2</f>
        <v>14.6016632860041</v>
      </c>
      <c r="Y11" s="13" t="n">
        <f aca="false">COUNTIF(E11:K11,"&lt;12")+COUNTIF(O11:V11,"&lt;12")</f>
        <v>3</v>
      </c>
      <c r="Z11" s="24" t="str">
        <f aca="false">IF(OR(X11&lt;12,Y11&gt;3),"Oui","Non")</f>
        <v>Non</v>
      </c>
    </row>
    <row r="12" customFormat="false" ht="18" hidden="false" customHeight="true" outlineLevel="0" collapsed="false">
      <c r="A12" s="23" t="s">
        <v>54</v>
      </c>
      <c r="B12" s="23" t="s">
        <v>55</v>
      </c>
      <c r="C12" s="23" t="s">
        <v>56</v>
      </c>
      <c r="D12" s="16" t="n">
        <v>10</v>
      </c>
      <c r="E12" s="18" t="n">
        <v>15.64</v>
      </c>
      <c r="F12" s="18" t="n">
        <v>14.27</v>
      </c>
      <c r="G12" s="18" t="n">
        <v>13.72</v>
      </c>
      <c r="H12" s="17" t="n">
        <v>11.62</v>
      </c>
      <c r="I12" s="18" t="n">
        <v>13.91</v>
      </c>
      <c r="J12" s="18" t="n">
        <v>12.37</v>
      </c>
      <c r="K12" s="18" t="n">
        <v>14.92</v>
      </c>
      <c r="M12" s="19" t="n">
        <f aca="false">(E12*5+F12*5+G12*5+H12*4+I12*4+J12*3+K12*3)/29</f>
        <v>13.8668965517241</v>
      </c>
      <c r="N12" s="16" t="n">
        <v>6</v>
      </c>
      <c r="O12" s="17" t="n">
        <v>11.56</v>
      </c>
      <c r="P12" s="18" t="n">
        <v>18.66</v>
      </c>
      <c r="Q12" s="18" t="n">
        <v>19.15</v>
      </c>
      <c r="R12" s="18" t="n">
        <v>14.64</v>
      </c>
      <c r="S12" s="17" t="n">
        <v>11.47</v>
      </c>
      <c r="T12" s="18" t="n">
        <v>15.53</v>
      </c>
      <c r="U12" s="18" t="n">
        <v>15.34</v>
      </c>
      <c r="V12" s="20" t="n">
        <v>14.78</v>
      </c>
      <c r="W12" s="19" t="n">
        <f aca="false">(O12*5+P12*5+Q12*5+R12*4+S12*4+T12*3+U12*3+V12*5)/34</f>
        <v>15.2294117647059</v>
      </c>
      <c r="X12" s="21" t="n">
        <f aca="false">(M12+W12)/2</f>
        <v>14.548154158215</v>
      </c>
      <c r="Y12" s="13" t="n">
        <f aca="false">COUNTIF(E12:K12,"&lt;12")+COUNTIF(O12:V12,"&lt;12")</f>
        <v>3</v>
      </c>
      <c r="Z12" s="24" t="str">
        <f aca="false">IF(OR(X12&lt;12,Y12&gt;3),"Oui","Non")</f>
        <v>Non</v>
      </c>
    </row>
    <row r="13" customFormat="false" ht="18" hidden="false" customHeight="true" outlineLevel="0" collapsed="false">
      <c r="A13" s="15" t="s">
        <v>57</v>
      </c>
      <c r="B13" s="15" t="s">
        <v>58</v>
      </c>
      <c r="C13" s="15" t="s">
        <v>59</v>
      </c>
      <c r="D13" s="16" t="n">
        <v>5</v>
      </c>
      <c r="E13" s="17" t="n">
        <v>9.84</v>
      </c>
      <c r="F13" s="18" t="n">
        <v>14.89</v>
      </c>
      <c r="G13" s="18" t="n">
        <v>13.36</v>
      </c>
      <c r="H13" s="17" t="n">
        <v>11.1</v>
      </c>
      <c r="I13" s="18" t="n">
        <v>17.8</v>
      </c>
      <c r="J13" s="18" t="n">
        <v>19.09</v>
      </c>
      <c r="K13" s="17" t="n">
        <v>10.49</v>
      </c>
      <c r="M13" s="19" t="n">
        <f aca="false">(E13*5+F13*5+G13*5+H13*4+I13*4+J13*3+K13*3)/29</f>
        <v>13.6134482758621</v>
      </c>
      <c r="N13" s="16" t="n">
        <v>13</v>
      </c>
      <c r="O13" s="18" t="n">
        <v>15.02</v>
      </c>
      <c r="P13" s="18" t="n">
        <v>12</v>
      </c>
      <c r="Q13" s="18" t="n">
        <v>19.26</v>
      </c>
      <c r="R13" s="18" t="n">
        <v>13.7</v>
      </c>
      <c r="S13" s="18" t="n">
        <v>18.74</v>
      </c>
      <c r="T13" s="18" t="n">
        <v>12.87</v>
      </c>
      <c r="U13" s="18" t="n">
        <v>19.13</v>
      </c>
      <c r="V13" s="20" t="n">
        <v>12.41</v>
      </c>
      <c r="W13" s="19" t="n">
        <f aca="false">(O13*5+P13*5+Q13*5+R13*4+S13*4+T13*3+U13*3+V13*5)/34</f>
        <v>15.2708823529412</v>
      </c>
      <c r="X13" s="21" t="n">
        <f aca="false">(M13+W13)/2</f>
        <v>14.4421653144016</v>
      </c>
      <c r="Y13" s="13" t="n">
        <f aca="false">COUNTIF(E13:K13,"&lt;12")+COUNTIF(O13:V13,"&lt;12")</f>
        <v>3</v>
      </c>
      <c r="Z13" s="24" t="str">
        <f aca="false">IF(OR(X13&lt;12,Y13&gt;3),"Oui","Non")</f>
        <v>Non</v>
      </c>
    </row>
    <row r="14" customFormat="false" ht="18" hidden="false" customHeight="true" outlineLevel="0" collapsed="false">
      <c r="A14" s="23" t="s">
        <v>60</v>
      </c>
      <c r="B14" s="23" t="s">
        <v>61</v>
      </c>
      <c r="C14" s="23" t="s">
        <v>62</v>
      </c>
      <c r="D14" s="16" t="n">
        <v>19</v>
      </c>
      <c r="E14" s="18" t="n">
        <v>12.98</v>
      </c>
      <c r="F14" s="18" t="n">
        <v>18.25</v>
      </c>
      <c r="G14" s="18" t="n">
        <v>13.34</v>
      </c>
      <c r="H14" s="18" t="n">
        <v>15.34</v>
      </c>
      <c r="I14" s="17" t="n">
        <v>11.08</v>
      </c>
      <c r="J14" s="18" t="n">
        <v>15.72</v>
      </c>
      <c r="K14" s="18" t="n">
        <v>13.93</v>
      </c>
      <c r="M14" s="19" t="n">
        <f aca="false">(E14*5+F14*5+G14*5+H14*4+I14*4+J14*3+K14*3)/29</f>
        <v>14.3958620689655</v>
      </c>
      <c r="N14" s="16" t="n">
        <v>16</v>
      </c>
      <c r="O14" s="17" t="n">
        <v>9.4</v>
      </c>
      <c r="P14" s="18" t="n">
        <v>15.31</v>
      </c>
      <c r="Q14" s="17" t="n">
        <v>11.74</v>
      </c>
      <c r="R14" s="18" t="n">
        <v>16.35</v>
      </c>
      <c r="S14" s="18" t="n">
        <v>12.71</v>
      </c>
      <c r="T14" s="18" t="n">
        <v>14.11</v>
      </c>
      <c r="U14" s="18" t="n">
        <v>12.08</v>
      </c>
      <c r="V14" s="20" t="n">
        <v>17.42</v>
      </c>
      <c r="W14" s="19" t="n">
        <f aca="false">(O14*5+P14*5+Q14*5+R14*4+S14*4+T14*3+U14*3+V14*5)/34</f>
        <v>13.6517647058824</v>
      </c>
      <c r="X14" s="21" t="n">
        <f aca="false">(M14+W14)/2</f>
        <v>14.0238133874239</v>
      </c>
      <c r="Y14" s="13" t="n">
        <f aca="false">COUNTIF(E14:K14,"&lt;12")+COUNTIF(O14:V14,"&lt;12")</f>
        <v>3</v>
      </c>
      <c r="Z14" s="24" t="str">
        <f aca="false">IF(OR(X14&lt;12,Y14&gt;3),"Oui","Non")</f>
        <v>Non</v>
      </c>
    </row>
    <row r="15" customFormat="false" ht="18" hidden="false" customHeight="true" outlineLevel="0" collapsed="false">
      <c r="A15" s="15" t="s">
        <v>63</v>
      </c>
      <c r="B15" s="15" t="s">
        <v>64</v>
      </c>
      <c r="C15" s="15" t="s">
        <v>65</v>
      </c>
      <c r="D15" s="16" t="n">
        <v>20</v>
      </c>
      <c r="E15" s="17" t="n">
        <v>10.06</v>
      </c>
      <c r="F15" s="18" t="n">
        <v>12.94</v>
      </c>
      <c r="G15" s="18" t="n">
        <v>17.62</v>
      </c>
      <c r="H15" s="18" t="n">
        <v>12.61</v>
      </c>
      <c r="I15" s="18" t="n">
        <v>12.18</v>
      </c>
      <c r="J15" s="18" t="n">
        <v>14.87</v>
      </c>
      <c r="K15" s="17" t="n">
        <v>9.43</v>
      </c>
      <c r="M15" s="19" t="n">
        <f aca="false">(E15*5+F15*5+G15*5+H15*4+I15*4+J15*3+K15*3)/29</f>
        <v>12.9365517241379</v>
      </c>
      <c r="N15" s="16" t="n">
        <v>10</v>
      </c>
      <c r="O15" s="18" t="n">
        <v>15.7</v>
      </c>
      <c r="P15" s="18" t="n">
        <v>13.18</v>
      </c>
      <c r="Q15" s="17" t="n">
        <v>10.05</v>
      </c>
      <c r="R15" s="18" t="n">
        <v>15.2</v>
      </c>
      <c r="S15" s="18" t="n">
        <v>13.33</v>
      </c>
      <c r="T15" s="18" t="n">
        <v>16.39</v>
      </c>
      <c r="U15" s="18" t="n">
        <v>16.63</v>
      </c>
      <c r="V15" s="20" t="n">
        <v>14.88</v>
      </c>
      <c r="W15" s="19" t="n">
        <f aca="false">(O15*5+P15*5+Q15*5+R15*4+S15*4+T15*3+U15*3+V15*5)/34</f>
        <v>14.1832352941176</v>
      </c>
      <c r="X15" s="21" t="n">
        <f aca="false">(M15+W15)/2</f>
        <v>13.5598935091278</v>
      </c>
      <c r="Y15" s="13" t="n">
        <f aca="false">COUNTIF(E15:K15,"&lt;12")+COUNTIF(O15:V15,"&lt;12")</f>
        <v>3</v>
      </c>
      <c r="Z15" s="24" t="str">
        <f aca="false">IF(OR(X15&lt;12,Y15&gt;3),"Oui","Non")</f>
        <v>Non</v>
      </c>
    </row>
    <row r="16" customFormat="false" ht="18" hidden="false" customHeight="true" outlineLevel="0" collapsed="false">
      <c r="A16" s="23" t="s">
        <v>66</v>
      </c>
      <c r="B16" s="23" t="s">
        <v>67</v>
      </c>
      <c r="C16" s="23" t="s">
        <v>68</v>
      </c>
      <c r="D16" s="16" t="n">
        <v>1</v>
      </c>
      <c r="E16" s="18" t="n">
        <v>16.3</v>
      </c>
      <c r="F16" s="18" t="n">
        <v>12.93</v>
      </c>
      <c r="G16" s="18" t="n">
        <v>12.29</v>
      </c>
      <c r="H16" s="18" t="n">
        <v>14.15</v>
      </c>
      <c r="I16" s="18" t="n">
        <v>14.97</v>
      </c>
      <c r="J16" s="18" t="n">
        <v>16.57</v>
      </c>
      <c r="K16" s="18" t="n">
        <v>13.52</v>
      </c>
      <c r="M16" s="19" t="n">
        <f aca="false">(E16*5+F16*5+G16*5+H16*4+I16*4+J16*3+K16*3)/29</f>
        <v>14.2879310344828</v>
      </c>
      <c r="N16" s="16" t="n">
        <v>17</v>
      </c>
      <c r="O16" s="18" t="n">
        <v>14.83</v>
      </c>
      <c r="P16" s="17" t="n">
        <v>10.43</v>
      </c>
      <c r="Q16" s="18" t="n">
        <v>12.77</v>
      </c>
      <c r="R16" s="17" t="n">
        <v>10.57</v>
      </c>
      <c r="S16" s="18" t="n">
        <v>13.28</v>
      </c>
      <c r="T16" s="17" t="n">
        <v>11</v>
      </c>
      <c r="U16" s="18" t="n">
        <v>13.75</v>
      </c>
      <c r="V16" s="20" t="n">
        <v>14.11</v>
      </c>
      <c r="W16" s="19" t="n">
        <f aca="false">(O16*5+P16*5+Q16*5+R16*4+S16*4+T16*3+U16*3+V16*5)/34</f>
        <v>12.6573529411765</v>
      </c>
      <c r="X16" s="21" t="n">
        <f aca="false">(M16+W16)/2</f>
        <v>13.4726419878296</v>
      </c>
      <c r="Y16" s="13" t="n">
        <f aca="false">COUNTIF(E16:K16,"&lt;12")+COUNTIF(O16:V16,"&lt;12")</f>
        <v>3</v>
      </c>
      <c r="Z16" s="24" t="str">
        <f aca="false">IF(OR(X16&lt;12,Y16&gt;3),"Oui","Non")</f>
        <v>Non</v>
      </c>
    </row>
    <row r="17" customFormat="false" ht="18" hidden="false" customHeight="true" outlineLevel="0" collapsed="false">
      <c r="A17" s="15" t="s">
        <v>69</v>
      </c>
      <c r="B17" s="15" t="s">
        <v>70</v>
      </c>
      <c r="C17" s="15" t="s">
        <v>71</v>
      </c>
      <c r="D17" s="16" t="n">
        <v>13</v>
      </c>
      <c r="E17" s="18" t="n">
        <v>14.54</v>
      </c>
      <c r="F17" s="17" t="n">
        <v>9.76</v>
      </c>
      <c r="G17" s="18" t="n">
        <v>12.25</v>
      </c>
      <c r="H17" s="18" t="n">
        <v>12.45</v>
      </c>
      <c r="I17" s="18" t="n">
        <v>13.96</v>
      </c>
      <c r="J17" s="17" t="n">
        <v>11.2</v>
      </c>
      <c r="K17" s="18" t="n">
        <v>15.49</v>
      </c>
      <c r="M17" s="19" t="n">
        <f aca="false">(E17*5+F17*5+G17*5+H17*4+I17*4+J17*3+K17*3)/29</f>
        <v>12.7055172413793</v>
      </c>
      <c r="N17" s="16" t="n">
        <v>1</v>
      </c>
      <c r="O17" s="18" t="n">
        <v>12.05</v>
      </c>
      <c r="P17" s="18" t="n">
        <v>13.44</v>
      </c>
      <c r="Q17" s="18" t="n">
        <v>12.84</v>
      </c>
      <c r="R17" s="18" t="n">
        <v>12.49</v>
      </c>
      <c r="S17" s="18" t="n">
        <v>14.78</v>
      </c>
      <c r="T17" s="18" t="n">
        <v>12.18</v>
      </c>
      <c r="U17" s="17" t="n">
        <v>11.93</v>
      </c>
      <c r="V17" s="20" t="n">
        <v>14.05</v>
      </c>
      <c r="W17" s="19" t="n">
        <f aca="false">(O17*5+P17*5+Q17*5+R17*4+S17*4+T17*3+U17*3+V17*5)/34</f>
        <v>13.0385294117647</v>
      </c>
      <c r="X17" s="21" t="n">
        <f aca="false">(M17+W17)/2</f>
        <v>12.872023326572</v>
      </c>
      <c r="Y17" s="13" t="n">
        <f aca="false">COUNTIF(E17:K17,"&lt;12")+COUNTIF(O17:V17,"&lt;12")</f>
        <v>3</v>
      </c>
      <c r="Z17" s="24" t="str">
        <f aca="false">IF(OR(X17&lt;12,Y17&gt;3),"Oui","Non")</f>
        <v>Non</v>
      </c>
    </row>
    <row r="18" customFormat="false" ht="18" hidden="false" customHeight="true" outlineLevel="0" collapsed="false">
      <c r="A18" s="23" t="s">
        <v>72</v>
      </c>
      <c r="B18" s="23" t="s">
        <v>73</v>
      </c>
      <c r="C18" s="23" t="s">
        <v>74</v>
      </c>
      <c r="D18" s="16" t="n">
        <v>6</v>
      </c>
      <c r="E18" s="17" t="n">
        <v>8.9</v>
      </c>
      <c r="F18" s="18" t="n">
        <v>13.25</v>
      </c>
      <c r="G18" s="18" t="n">
        <v>15.37</v>
      </c>
      <c r="H18" s="18" t="n">
        <v>14.05</v>
      </c>
      <c r="I18" s="17" t="n">
        <v>9.72</v>
      </c>
      <c r="J18" s="18" t="n">
        <v>15.74</v>
      </c>
      <c r="K18" s="18" t="n">
        <v>16.59</v>
      </c>
      <c r="M18" s="19" t="n">
        <f aca="false">(E18*5+F18*5+G18*5+H18*4+I18*4+J18*3+K18*3)/29</f>
        <v>13.0920689655172</v>
      </c>
      <c r="N18" s="16" t="n">
        <v>14</v>
      </c>
      <c r="O18" s="17" t="n">
        <v>9.1</v>
      </c>
      <c r="P18" s="18" t="n">
        <v>14.59</v>
      </c>
      <c r="Q18" s="18" t="n">
        <v>16.35</v>
      </c>
      <c r="R18" s="18" t="n">
        <v>14.88</v>
      </c>
      <c r="S18" s="18" t="n">
        <v>17.24</v>
      </c>
      <c r="T18" s="18" t="n">
        <v>19.06</v>
      </c>
      <c r="U18" s="18" t="n">
        <v>14.06</v>
      </c>
      <c r="V18" s="20" t="n">
        <v>13</v>
      </c>
      <c r="W18" s="19" t="n">
        <f aca="false">(O18*5+P18*5+Q18*5+R18*4+S18*4+T18*3+U18*3+V18*5)/34</f>
        <v>14.5011764705882</v>
      </c>
      <c r="X18" s="21" t="n">
        <f aca="false">(M18+W18)/2</f>
        <v>13.7966227180527</v>
      </c>
      <c r="Y18" s="13" t="n">
        <f aca="false">COUNTIF(E18:K18,"&lt;12")+COUNTIF(O18:V18,"&lt;12")</f>
        <v>3</v>
      </c>
      <c r="Z18" s="24" t="str">
        <f aca="false">IF(OR(X18&lt;12,Y18&gt;3),"Oui","Non")</f>
        <v>Non</v>
      </c>
    </row>
    <row r="19" customFormat="false" ht="18" hidden="false" customHeight="true" outlineLevel="0" collapsed="false">
      <c r="A19" s="15" t="s">
        <v>75</v>
      </c>
      <c r="B19" s="15" t="s">
        <v>76</v>
      </c>
      <c r="C19" s="15" t="s">
        <v>77</v>
      </c>
      <c r="D19" s="16" t="n">
        <v>18</v>
      </c>
      <c r="E19" s="18" t="n">
        <v>18.14</v>
      </c>
      <c r="F19" s="18" t="n">
        <v>12.75</v>
      </c>
      <c r="G19" s="18" t="n">
        <v>12.91</v>
      </c>
      <c r="H19" s="17" t="n">
        <v>9.2</v>
      </c>
      <c r="I19" s="18" t="n">
        <v>13.52</v>
      </c>
      <c r="J19" s="18" t="n">
        <v>15.13</v>
      </c>
      <c r="K19" s="18" t="n">
        <v>14.7</v>
      </c>
      <c r="M19" s="19" t="n">
        <f aca="false">(E19*5+F19*5+G19*5+H19*4+I19*4+J19*3+K19*3)/29</f>
        <v>13.7713793103448</v>
      </c>
      <c r="N19" s="16" t="n">
        <v>20</v>
      </c>
      <c r="O19" s="18" t="n">
        <v>18.5</v>
      </c>
      <c r="P19" s="18" t="n">
        <v>16.68</v>
      </c>
      <c r="Q19" s="18" t="n">
        <v>12.81</v>
      </c>
      <c r="R19" s="18" t="n">
        <v>17.32</v>
      </c>
      <c r="S19" s="18" t="n">
        <v>14.41</v>
      </c>
      <c r="T19" s="17" t="n">
        <v>11.03</v>
      </c>
      <c r="U19" s="17" t="n">
        <v>10.07</v>
      </c>
      <c r="V19" s="20" t="n">
        <v>18.68</v>
      </c>
      <c r="W19" s="19" t="n">
        <f aca="false">(O19*5+P19*5+Q19*5+R19*4+S19*4+T19*3+U19*3+V19*5)/34</f>
        <v>15.3991176470588</v>
      </c>
      <c r="X19" s="21" t="n">
        <f aca="false">(M19+W19)/2</f>
        <v>14.5852484787018</v>
      </c>
      <c r="Y19" s="13" t="n">
        <f aca="false">COUNTIF(E19:K19,"&lt;12")+COUNTIF(O19:V19,"&lt;12")</f>
        <v>3</v>
      </c>
      <c r="Z19" s="24" t="str">
        <f aca="false">IF(OR(X19&lt;12,Y19&gt;3),"Oui","Non")</f>
        <v>Non</v>
      </c>
    </row>
    <row r="20" customFormat="false" ht="18" hidden="false" customHeight="true" outlineLevel="0" collapsed="false">
      <c r="A20" s="23" t="s">
        <v>78</v>
      </c>
      <c r="B20" s="23" t="s">
        <v>79</v>
      </c>
      <c r="C20" s="23" t="s">
        <v>80</v>
      </c>
      <c r="D20" s="16" t="n">
        <v>14</v>
      </c>
      <c r="E20" s="18" t="n">
        <v>16.91</v>
      </c>
      <c r="F20" s="18" t="n">
        <v>12.66</v>
      </c>
      <c r="G20" s="18" t="n">
        <v>13.65</v>
      </c>
      <c r="H20" s="18" t="n">
        <v>15.65</v>
      </c>
      <c r="I20" s="17" t="n">
        <v>10.83</v>
      </c>
      <c r="J20" s="18" t="n">
        <v>14.27</v>
      </c>
      <c r="K20" s="18" t="n">
        <v>12.92</v>
      </c>
      <c r="M20" s="19" t="n">
        <f aca="false">(E20*5+F20*5+G20*5+H20*4+I20*4+J20*3+K20*3)/29</f>
        <v>13.9168965517241</v>
      </c>
      <c r="N20" s="16" t="n">
        <v>18</v>
      </c>
      <c r="O20" s="18" t="n">
        <v>13.64</v>
      </c>
      <c r="P20" s="18" t="n">
        <v>12.32</v>
      </c>
      <c r="Q20" s="18" t="n">
        <v>16.32</v>
      </c>
      <c r="R20" s="17" t="n">
        <v>11.13</v>
      </c>
      <c r="S20" s="18" t="n">
        <v>15.79</v>
      </c>
      <c r="T20" s="17" t="n">
        <v>10.39</v>
      </c>
      <c r="U20" s="18" t="n">
        <v>14.31</v>
      </c>
      <c r="V20" s="20" t="n">
        <v>12.45</v>
      </c>
      <c r="W20" s="19" t="n">
        <f aca="false">(O20*5+P20*5+Q20*5+R20*4+S20*4+T20*3+U20*3+V20*5)/34</f>
        <v>13.395</v>
      </c>
      <c r="X20" s="21" t="n">
        <f aca="false">(M20+W20)/2</f>
        <v>13.6559482758621</v>
      </c>
      <c r="Y20" s="13" t="n">
        <f aca="false">COUNTIF(E20:K20,"&lt;12")+COUNTIF(O20:V20,"&lt;12")</f>
        <v>3</v>
      </c>
      <c r="Z20" s="24" t="str">
        <f aca="false">IF(OR(X20&lt;12,Y20&gt;3),"Oui","Non")</f>
        <v>Non</v>
      </c>
    </row>
    <row r="21" customFormat="false" ht="18" hidden="false" customHeight="true" outlineLevel="0" collapsed="false">
      <c r="A21" s="15" t="s">
        <v>81</v>
      </c>
      <c r="B21" s="15" t="s">
        <v>82</v>
      </c>
      <c r="C21" s="15" t="s">
        <v>83</v>
      </c>
      <c r="D21" s="16" t="n">
        <v>6</v>
      </c>
      <c r="E21" s="18" t="n">
        <v>12.98</v>
      </c>
      <c r="F21" s="17" t="n">
        <v>11.26</v>
      </c>
      <c r="G21" s="18" t="n">
        <v>19.07</v>
      </c>
      <c r="H21" s="17" t="n">
        <v>10.16</v>
      </c>
      <c r="I21" s="18" t="n">
        <v>17.77</v>
      </c>
      <c r="J21" s="18" t="n">
        <v>13.83</v>
      </c>
      <c r="K21" s="18" t="n">
        <v>13.72</v>
      </c>
      <c r="M21" s="19" t="n">
        <f aca="false">(E21*5+F21*5+G21*5+H21*4+I21*4+J21*3+K21*3)/29</f>
        <v>14.1696551724138</v>
      </c>
      <c r="N21" s="16" t="n">
        <v>15</v>
      </c>
      <c r="O21" s="18" t="n">
        <v>13.15</v>
      </c>
      <c r="P21" s="18" t="n">
        <v>14.21</v>
      </c>
      <c r="Q21" s="18" t="n">
        <v>15.58</v>
      </c>
      <c r="R21" s="18" t="n">
        <v>13.89</v>
      </c>
      <c r="S21" s="18" t="n">
        <v>17.14</v>
      </c>
      <c r="T21" s="18" t="n">
        <v>18.86</v>
      </c>
      <c r="U21" s="18" t="n">
        <v>13.31</v>
      </c>
      <c r="V21" s="17" t="n">
        <v>10.1</v>
      </c>
      <c r="W21" s="19" t="n">
        <f aca="false">(O21*5+P21*5+Q21*5+R21*4+S21*4+T21*3+U21*3+V21*5)/34</f>
        <v>14.2891176470588</v>
      </c>
      <c r="X21" s="21" t="n">
        <f aca="false">(M21+W21)/2</f>
        <v>14.2293864097363</v>
      </c>
      <c r="Y21" s="13" t="n">
        <f aca="false">COUNTIF(E21:K21,"&lt;12")+COUNTIF(O21:V21,"&lt;12")</f>
        <v>3</v>
      </c>
      <c r="Z21" s="24" t="str">
        <f aca="false">IF(OR(X21&lt;12,Y21&gt;3),"Oui","Non")</f>
        <v>Non</v>
      </c>
    </row>
    <row r="22" customFormat="false" ht="18" hidden="false" customHeight="true" outlineLevel="0" collapsed="false">
      <c r="A22" s="23" t="s">
        <v>84</v>
      </c>
      <c r="B22" s="23" t="s">
        <v>85</v>
      </c>
      <c r="C22" s="23" t="s">
        <v>86</v>
      </c>
      <c r="D22" s="16" t="n">
        <v>14</v>
      </c>
      <c r="E22" s="17" t="n">
        <v>10.53</v>
      </c>
      <c r="F22" s="18" t="n">
        <v>17.75</v>
      </c>
      <c r="G22" s="18" t="n">
        <v>13.83</v>
      </c>
      <c r="H22" s="18" t="n">
        <v>13.27</v>
      </c>
      <c r="I22" s="17" t="n">
        <v>10.31</v>
      </c>
      <c r="J22" s="18" t="n">
        <v>16.89</v>
      </c>
      <c r="K22" s="18" t="n">
        <v>14.37</v>
      </c>
      <c r="M22" s="19" t="n">
        <f aca="false">(E22*5+F22*5+G22*5+H22*4+I22*4+J22*3+K22*3)/29</f>
        <v>13.7465517241379</v>
      </c>
      <c r="N22" s="16" t="n">
        <v>14</v>
      </c>
      <c r="O22" s="18" t="n">
        <v>17.05</v>
      </c>
      <c r="P22" s="18" t="n">
        <v>13.46</v>
      </c>
      <c r="Q22" s="18" t="n">
        <v>14.49</v>
      </c>
      <c r="R22" s="18" t="n">
        <v>12.98</v>
      </c>
      <c r="S22" s="18" t="n">
        <v>13.37</v>
      </c>
      <c r="T22" s="17" t="n">
        <v>10.32</v>
      </c>
      <c r="U22" s="18" t="n">
        <v>14.77</v>
      </c>
      <c r="V22" s="20" t="n">
        <v>14.4</v>
      </c>
      <c r="W22" s="19" t="n">
        <f aca="false">(O22*5+P22*5+Q22*5+R22*4+S22*4+T22*3+U22*3+V22*5)/34</f>
        <v>14.0491176470588</v>
      </c>
      <c r="X22" s="21" t="n">
        <f aca="false">(M22+W22)/2</f>
        <v>13.8978346855984</v>
      </c>
      <c r="Y22" s="13" t="n">
        <f aca="false">COUNTIF(E22:K22,"&lt;12")+COUNTIF(O22:V22,"&lt;12")</f>
        <v>3</v>
      </c>
      <c r="Z22" s="24" t="str">
        <f aca="false">IF(OR(X22&lt;12,Y22&gt;3),"Oui","Non")</f>
        <v>Non</v>
      </c>
    </row>
    <row r="23" customFormat="false" ht="18" hidden="false" customHeight="true" outlineLevel="0" collapsed="false">
      <c r="A23" s="15" t="s">
        <v>87</v>
      </c>
      <c r="B23" s="15" t="s">
        <v>88</v>
      </c>
      <c r="C23" s="15" t="s">
        <v>89</v>
      </c>
      <c r="D23" s="16" t="n">
        <v>17</v>
      </c>
      <c r="E23" s="17" t="n">
        <v>9.19</v>
      </c>
      <c r="F23" s="18" t="n">
        <v>13.49</v>
      </c>
      <c r="G23" s="18" t="n">
        <v>12.53</v>
      </c>
      <c r="H23" s="17" t="n">
        <v>10.48</v>
      </c>
      <c r="I23" s="18" t="n">
        <v>19.46</v>
      </c>
      <c r="J23" s="18" t="n">
        <v>12.45</v>
      </c>
      <c r="K23" s="18" t="n">
        <v>17.18</v>
      </c>
      <c r="M23" s="19" t="n">
        <f aca="false">(E23*5+F23*5+G23*5+H23*4+I23*4+J23*3+K23*3)/29</f>
        <v>13.2655172413793</v>
      </c>
      <c r="N23" s="16" t="n">
        <v>15</v>
      </c>
      <c r="O23" s="18" t="n">
        <v>19.11</v>
      </c>
      <c r="P23" s="18" t="n">
        <v>12.88</v>
      </c>
      <c r="Q23" s="18" t="n">
        <v>12.1</v>
      </c>
      <c r="R23" s="17" t="n">
        <v>11.01</v>
      </c>
      <c r="S23" s="18" t="n">
        <v>14.02</v>
      </c>
      <c r="T23" s="18" t="n">
        <v>13.26</v>
      </c>
      <c r="U23" s="18" t="n">
        <v>12.15</v>
      </c>
      <c r="V23" s="20" t="n">
        <v>13.19</v>
      </c>
      <c r="W23" s="19" t="n">
        <f aca="false">(O23*5+P23*5+Q23*5+R23*4+S23*4+T23*3+U23*3+V23*5)/34</f>
        <v>13.6102941176471</v>
      </c>
      <c r="X23" s="21" t="n">
        <f aca="false">(M23+W23)/2</f>
        <v>13.4379056795132</v>
      </c>
      <c r="Y23" s="13" t="n">
        <f aca="false">COUNTIF(E23:K23,"&lt;12")+COUNTIF(O23:V23,"&lt;12")</f>
        <v>3</v>
      </c>
      <c r="Z23" s="24" t="str">
        <f aca="false">IF(OR(X23&lt;12,Y23&gt;3),"Oui","Non")</f>
        <v>Non</v>
      </c>
    </row>
    <row r="24" customFormat="false" ht="18" hidden="false" customHeight="true" outlineLevel="0" collapsed="false">
      <c r="A24" s="23" t="s">
        <v>90</v>
      </c>
      <c r="B24" s="23" t="s">
        <v>91</v>
      </c>
      <c r="C24" s="23" t="s">
        <v>92</v>
      </c>
      <c r="D24" s="16" t="n">
        <v>14</v>
      </c>
      <c r="E24" s="18" t="n">
        <v>12.48</v>
      </c>
      <c r="F24" s="18" t="n">
        <v>15.73</v>
      </c>
      <c r="G24" s="17" t="n">
        <v>8.52</v>
      </c>
      <c r="H24" s="18" t="n">
        <v>19.16</v>
      </c>
      <c r="I24" s="18" t="n">
        <v>14.61</v>
      </c>
      <c r="J24" s="17" t="n">
        <v>9.99</v>
      </c>
      <c r="K24" s="17" t="n">
        <v>8.98</v>
      </c>
      <c r="M24" s="19" t="n">
        <f aca="false">(E24*5+F24*5+G24*5+H24*4+I24*4+J24*3+K24*3)/29</f>
        <v>12.9531034482759</v>
      </c>
      <c r="N24" s="16" t="n">
        <v>2</v>
      </c>
      <c r="O24" s="18" t="n">
        <v>13.89</v>
      </c>
      <c r="P24" s="18" t="n">
        <v>13.9</v>
      </c>
      <c r="Q24" s="18" t="n">
        <v>13.55</v>
      </c>
      <c r="R24" s="18" t="n">
        <v>19.4</v>
      </c>
      <c r="S24" s="18" t="n">
        <v>18.41</v>
      </c>
      <c r="T24" s="18" t="n">
        <v>12.77</v>
      </c>
      <c r="U24" s="18" t="n">
        <v>14.18</v>
      </c>
      <c r="V24" s="20" t="n">
        <v>17.4</v>
      </c>
      <c r="W24" s="19" t="n">
        <f aca="false">(O24*5+P24*5+Q24*5+R24*4+S24*4+T24*3+U24*3+V24*5)/34</f>
        <v>15.4644117647059</v>
      </c>
      <c r="X24" s="21" t="n">
        <f aca="false">(M24+W24)/2</f>
        <v>14.2087576064909</v>
      </c>
      <c r="Y24" s="13" t="n">
        <f aca="false">COUNTIF(E24:K24,"&lt;12")+COUNTIF(O24:V24,"&lt;12")</f>
        <v>3</v>
      </c>
      <c r="Z24" s="24" t="str">
        <f aca="false">IF(OR(X24&lt;12,Y24&gt;3),"Oui","Non")</f>
        <v>Non</v>
      </c>
    </row>
    <row r="25" customFormat="false" ht="18" hidden="false" customHeight="true" outlineLevel="0" collapsed="false">
      <c r="A25" s="15" t="s">
        <v>93</v>
      </c>
      <c r="B25" s="15" t="s">
        <v>94</v>
      </c>
      <c r="C25" s="15" t="s">
        <v>95</v>
      </c>
      <c r="D25" s="16" t="n">
        <v>13</v>
      </c>
      <c r="E25" s="18" t="n">
        <v>14.34</v>
      </c>
      <c r="F25" s="18" t="n">
        <v>19.49</v>
      </c>
      <c r="G25" s="18" t="n">
        <v>13.12</v>
      </c>
      <c r="H25" s="18" t="n">
        <v>12.23</v>
      </c>
      <c r="I25" s="18" t="n">
        <v>13.73</v>
      </c>
      <c r="J25" s="17" t="n">
        <v>11.31</v>
      </c>
      <c r="K25" s="18" t="n">
        <v>13.9</v>
      </c>
      <c r="M25" s="19" t="n">
        <f aca="false">(E25*5+F25*5+G25*5+H25*4+I25*4+J25*3+K25*3)/29</f>
        <v>14.2834482758621</v>
      </c>
      <c r="N25" s="16" t="n">
        <v>15</v>
      </c>
      <c r="O25" s="18" t="n">
        <v>13.79</v>
      </c>
      <c r="P25" s="18" t="n">
        <v>12.69</v>
      </c>
      <c r="Q25" s="17" t="n">
        <v>11.02</v>
      </c>
      <c r="R25" s="18" t="n">
        <v>14.26</v>
      </c>
      <c r="S25" s="18" t="n">
        <v>15.72</v>
      </c>
      <c r="T25" s="18" t="n">
        <v>14.15</v>
      </c>
      <c r="U25" s="17" t="n">
        <v>9.92</v>
      </c>
      <c r="V25" s="20" t="n">
        <v>16.69</v>
      </c>
      <c r="W25" s="19" t="n">
        <f aca="false">(O25*5+P25*5+Q25*5+R25*4+S25*4+T25*3+U25*3+V25*5)/34</f>
        <v>13.62</v>
      </c>
      <c r="X25" s="21" t="n">
        <f aca="false">(M25+W25)/2</f>
        <v>13.951724137931</v>
      </c>
      <c r="Y25" s="13" t="n">
        <f aca="false">COUNTIF(E25:K25,"&lt;12")+COUNTIF(O25:V25,"&lt;12")</f>
        <v>3</v>
      </c>
      <c r="Z25" s="24" t="str">
        <f aca="false">IF(OR(X25&lt;12,Y25&gt;3),"Oui","Non")</f>
        <v>Non</v>
      </c>
    </row>
    <row r="26" customFormat="false" ht="18" hidden="false" customHeight="true" outlineLevel="0" collapsed="false">
      <c r="A26" s="23" t="s">
        <v>96</v>
      </c>
      <c r="B26" s="23" t="s">
        <v>97</v>
      </c>
      <c r="C26" s="23" t="s">
        <v>98</v>
      </c>
      <c r="D26" s="16" t="n">
        <v>20</v>
      </c>
      <c r="E26" s="17" t="n">
        <v>11.23</v>
      </c>
      <c r="F26" s="18" t="n">
        <v>15.66</v>
      </c>
      <c r="G26" s="18" t="n">
        <v>15.12</v>
      </c>
      <c r="H26" s="18" t="n">
        <v>17.65</v>
      </c>
      <c r="I26" s="18" t="n">
        <v>17.65</v>
      </c>
      <c r="J26" s="18" t="n">
        <v>17.74</v>
      </c>
      <c r="K26" s="17" t="n">
        <v>11.75</v>
      </c>
      <c r="M26" s="19" t="n">
        <f aca="false">(E26*5+F26*5+G26*5+H26*4+I26*4+J26*3+K26*3)/29</f>
        <v>15.1627586206897</v>
      </c>
      <c r="N26" s="16" t="n">
        <v>4</v>
      </c>
      <c r="O26" s="17" t="n">
        <v>10.96</v>
      </c>
      <c r="P26" s="18" t="n">
        <v>15.98</v>
      </c>
      <c r="Q26" s="18" t="n">
        <v>16.49</v>
      </c>
      <c r="R26" s="18" t="n">
        <v>17.9</v>
      </c>
      <c r="S26" s="18" t="n">
        <v>14.99</v>
      </c>
      <c r="T26" s="18" t="n">
        <v>14.27</v>
      </c>
      <c r="U26" s="18" t="n">
        <v>14.89</v>
      </c>
      <c r="V26" s="20" t="n">
        <v>18.51</v>
      </c>
      <c r="W26" s="19" t="n">
        <f aca="false">(O26*5+P26*5+Q26*5+R26*4+S26*4+T26*3+U26*3+V26*5)/34</f>
        <v>15.5511764705882</v>
      </c>
      <c r="X26" s="21" t="n">
        <f aca="false">(M26+W26)/2</f>
        <v>15.3569675456389</v>
      </c>
      <c r="Y26" s="13" t="n">
        <f aca="false">COUNTIF(E26:K26,"&lt;12")+COUNTIF(O26:V26,"&lt;12")</f>
        <v>3</v>
      </c>
      <c r="Z26" s="24" t="str">
        <f aca="false">IF(OR(X26&lt;12,Y26&gt;3),"Oui","Non")</f>
        <v>Non</v>
      </c>
    </row>
    <row r="27" customFormat="false" ht="18" hidden="false" customHeight="true" outlineLevel="0" collapsed="false">
      <c r="A27" s="15" t="s">
        <v>99</v>
      </c>
      <c r="B27" s="15" t="s">
        <v>100</v>
      </c>
      <c r="C27" s="15" t="s">
        <v>101</v>
      </c>
      <c r="D27" s="16" t="n">
        <v>20</v>
      </c>
      <c r="E27" s="18" t="n">
        <v>12.76</v>
      </c>
      <c r="F27" s="17" t="n">
        <v>10.17</v>
      </c>
      <c r="G27" s="17" t="n">
        <v>10.19</v>
      </c>
      <c r="H27" s="18" t="n">
        <v>12.68</v>
      </c>
      <c r="I27" s="18" t="n">
        <v>17.06</v>
      </c>
      <c r="J27" s="18" t="n">
        <v>18.27</v>
      </c>
      <c r="K27" s="18" t="n">
        <v>15.47</v>
      </c>
      <c r="M27" s="19" t="n">
        <f aca="false">(E27*5+F27*5+G27*5+H27*4+I27*4+J27*3+K27*3)/29</f>
        <v>13.3027586206897</v>
      </c>
      <c r="N27" s="16" t="n">
        <v>3</v>
      </c>
      <c r="O27" s="18" t="n">
        <v>13.22</v>
      </c>
      <c r="P27" s="18" t="n">
        <v>12.52</v>
      </c>
      <c r="Q27" s="17" t="n">
        <v>11.32</v>
      </c>
      <c r="R27" s="18" t="n">
        <v>14.34</v>
      </c>
      <c r="S27" s="18" t="n">
        <v>14.99</v>
      </c>
      <c r="T27" s="18" t="n">
        <v>12.3</v>
      </c>
      <c r="U27" s="18" t="n">
        <v>13.5</v>
      </c>
      <c r="V27" s="20" t="n">
        <v>17.57</v>
      </c>
      <c r="W27" s="19" t="n">
        <f aca="false">(O27*5+P27*5+Q27*5+R27*4+S27*4+T27*3+U27*3+V27*5)/34</f>
        <v>13.7608823529412</v>
      </c>
      <c r="X27" s="21" t="n">
        <f aca="false">(M27+W27)/2</f>
        <v>13.5318204868154</v>
      </c>
      <c r="Y27" s="13" t="n">
        <f aca="false">COUNTIF(E27:K27,"&lt;12")+COUNTIF(O27:V27,"&lt;12")</f>
        <v>3</v>
      </c>
      <c r="Z27" s="24" t="str">
        <f aca="false">IF(OR(X27&lt;12,Y27&gt;3),"Oui","Non")</f>
        <v>Non</v>
      </c>
    </row>
    <row r="28" customFormat="false" ht="18" hidden="false" customHeight="true" outlineLevel="0" collapsed="false">
      <c r="A28" s="23" t="s">
        <v>102</v>
      </c>
      <c r="B28" s="23" t="s">
        <v>103</v>
      </c>
      <c r="C28" s="23" t="s">
        <v>104</v>
      </c>
      <c r="D28" s="16" t="n">
        <v>18</v>
      </c>
      <c r="E28" s="17" t="n">
        <v>11.4</v>
      </c>
      <c r="F28" s="18" t="n">
        <v>14.96</v>
      </c>
      <c r="G28" s="18" t="n">
        <v>14.76</v>
      </c>
      <c r="H28" s="18" t="n">
        <v>15.47</v>
      </c>
      <c r="I28" s="18" t="n">
        <v>16.01</v>
      </c>
      <c r="J28" s="18" t="n">
        <v>15.24</v>
      </c>
      <c r="K28" s="18" t="n">
        <v>17.48</v>
      </c>
      <c r="M28" s="19" t="n">
        <f aca="false">(E28*5+F28*5+G28*5+H28*4+I28*4+J28*3+K28*3)/29</f>
        <v>14.8165517241379</v>
      </c>
      <c r="N28" s="16" t="n">
        <v>11</v>
      </c>
      <c r="O28" s="18" t="n">
        <v>14.85</v>
      </c>
      <c r="P28" s="18" t="n">
        <v>18.29</v>
      </c>
      <c r="Q28" s="18" t="n">
        <v>15.08</v>
      </c>
      <c r="R28" s="17" t="n">
        <v>10.86</v>
      </c>
      <c r="S28" s="18" t="n">
        <v>12.51</v>
      </c>
      <c r="T28" s="18" t="n">
        <v>14.24</v>
      </c>
      <c r="U28" s="18" t="n">
        <v>16.15</v>
      </c>
      <c r="V28" s="17" t="n">
        <v>8.13</v>
      </c>
      <c r="W28" s="19" t="n">
        <f aca="false">(O28*5+P28*5+Q28*5+R28*4+S28*4+T28*3+U28*3+V28*5)/34</f>
        <v>13.7176470588235</v>
      </c>
      <c r="X28" s="21" t="n">
        <f aca="false">(M28+W28)/2</f>
        <v>14.2670993914807</v>
      </c>
      <c r="Y28" s="13" t="n">
        <f aca="false">COUNTIF(E28:K28,"&lt;12")+COUNTIF(O28:V28,"&lt;12")</f>
        <v>3</v>
      </c>
      <c r="Z28" s="24" t="str">
        <f aca="false">IF(OR(X28&lt;12,Y28&gt;3),"Oui","Non")</f>
        <v>Non</v>
      </c>
    </row>
    <row r="29" customFormat="false" ht="18" hidden="false" customHeight="true" outlineLevel="0" collapsed="false">
      <c r="A29" s="15" t="s">
        <v>105</v>
      </c>
      <c r="B29" s="15" t="s">
        <v>106</v>
      </c>
      <c r="C29" s="15" t="s">
        <v>107</v>
      </c>
      <c r="D29" s="16" t="n">
        <v>13</v>
      </c>
      <c r="E29" s="18" t="n">
        <v>15.43</v>
      </c>
      <c r="F29" s="17" t="n">
        <v>11.97</v>
      </c>
      <c r="G29" s="18" t="n">
        <v>17.57</v>
      </c>
      <c r="H29" s="18" t="n">
        <v>13.97</v>
      </c>
      <c r="I29" s="18" t="n">
        <v>13.47</v>
      </c>
      <c r="J29" s="17" t="n">
        <v>11.93</v>
      </c>
      <c r="K29" s="18" t="n">
        <v>13.05</v>
      </c>
      <c r="M29" s="19" t="n">
        <f aca="false">(E29*5+F29*5+G29*5+H29*4+I29*4+J29*3+K29*3)/29</f>
        <v>14.1224137931035</v>
      </c>
      <c r="N29" s="16" t="n">
        <v>5</v>
      </c>
      <c r="O29" s="18" t="n">
        <v>13.9</v>
      </c>
      <c r="P29" s="18" t="n">
        <v>13.87</v>
      </c>
      <c r="Q29" s="18" t="n">
        <v>16.36</v>
      </c>
      <c r="R29" s="18" t="n">
        <v>14.84</v>
      </c>
      <c r="S29" s="17" t="n">
        <v>11.76</v>
      </c>
      <c r="T29" s="18" t="n">
        <v>14.98</v>
      </c>
      <c r="U29" s="18" t="n">
        <v>13.98</v>
      </c>
      <c r="V29" s="20" t="n">
        <v>15.44</v>
      </c>
      <c r="W29" s="19" t="n">
        <f aca="false">(O29*5+P29*5+Q29*5+R29*4+S29*4+T29*3+U29*3+V29*5)/34</f>
        <v>14.445</v>
      </c>
      <c r="X29" s="21" t="n">
        <f aca="false">(M29+W29)/2</f>
        <v>14.2837068965517</v>
      </c>
      <c r="Y29" s="13" t="n">
        <f aca="false">COUNTIF(E29:K29,"&lt;12")+COUNTIF(O29:V29,"&lt;12")</f>
        <v>3</v>
      </c>
      <c r="Z29" s="24" t="str">
        <f aca="false">IF(OR(X29&lt;12,Y29&gt;3),"Oui","Non")</f>
        <v>Non</v>
      </c>
    </row>
    <row r="30" customFormat="false" ht="18" hidden="false" customHeight="true" outlineLevel="0" collapsed="false">
      <c r="A30" s="23" t="s">
        <v>108</v>
      </c>
      <c r="B30" s="23" t="s">
        <v>109</v>
      </c>
      <c r="C30" s="23" t="s">
        <v>110</v>
      </c>
      <c r="D30" s="16" t="n">
        <v>9</v>
      </c>
      <c r="E30" s="18" t="n">
        <v>13.12</v>
      </c>
      <c r="F30" s="18" t="n">
        <v>12.1</v>
      </c>
      <c r="G30" s="18" t="n">
        <v>18.89</v>
      </c>
      <c r="H30" s="18" t="n">
        <v>12.45</v>
      </c>
      <c r="I30" s="17" t="n">
        <v>11.63</v>
      </c>
      <c r="J30" s="18" t="n">
        <v>12.54</v>
      </c>
      <c r="K30" s="18" t="n">
        <v>18.88</v>
      </c>
      <c r="M30" s="19" t="n">
        <f aca="false">(E30*5+F30*5+G30*5+H30*4+I30*4+J30*3+K30*3)/29</f>
        <v>14.1768965517241</v>
      </c>
      <c r="N30" s="16" t="n">
        <v>20</v>
      </c>
      <c r="O30" s="18" t="n">
        <v>17.69</v>
      </c>
      <c r="P30" s="18" t="n">
        <v>14.56</v>
      </c>
      <c r="Q30" s="18" t="n">
        <v>15.57</v>
      </c>
      <c r="R30" s="18" t="n">
        <v>13.81</v>
      </c>
      <c r="S30" s="18" t="n">
        <v>19.22</v>
      </c>
      <c r="T30" s="17" t="n">
        <v>11.48</v>
      </c>
      <c r="U30" s="17" t="n">
        <v>11.98</v>
      </c>
      <c r="V30" s="20" t="n">
        <v>13.42</v>
      </c>
      <c r="W30" s="19" t="n">
        <f aca="false">(O30*5+P30*5+Q30*5+R30*4+S30*4+T30*3+U30*3+V30*5)/34</f>
        <v>14.9617647058824</v>
      </c>
      <c r="X30" s="21" t="n">
        <f aca="false">(M30+W30)/2</f>
        <v>14.5693306288032</v>
      </c>
      <c r="Y30" s="13" t="n">
        <f aca="false">COUNTIF(E30:K30,"&lt;12")+COUNTIF(O30:V30,"&lt;12")</f>
        <v>3</v>
      </c>
      <c r="Z30" s="24" t="str">
        <f aca="false">IF(OR(X30&lt;12,Y30&gt;3),"Oui","Non")</f>
        <v>Non</v>
      </c>
    </row>
    <row r="31" customFormat="false" ht="18" hidden="false" customHeight="true" outlineLevel="0" collapsed="false">
      <c r="A31" s="15" t="s">
        <v>111</v>
      </c>
      <c r="B31" s="15" t="s">
        <v>112</v>
      </c>
      <c r="C31" s="15" t="s">
        <v>113</v>
      </c>
      <c r="D31" s="16" t="n">
        <v>20</v>
      </c>
      <c r="E31" s="18" t="n">
        <v>13.75</v>
      </c>
      <c r="F31" s="18" t="n">
        <v>16.98</v>
      </c>
      <c r="G31" s="18" t="n">
        <v>13.41</v>
      </c>
      <c r="H31" s="18" t="n">
        <v>17.83</v>
      </c>
      <c r="I31" s="17" t="n">
        <v>8.65</v>
      </c>
      <c r="J31" s="17" t="n">
        <v>11.48</v>
      </c>
      <c r="K31" s="18" t="n">
        <v>16.86</v>
      </c>
      <c r="M31" s="19" t="n">
        <f aca="false">(E31*5+F31*5+G31*5+H31*4+I31*4+J31*3+K31*3)/29</f>
        <v>14.1944827586207</v>
      </c>
      <c r="N31" s="16" t="n">
        <v>19</v>
      </c>
      <c r="O31" s="18" t="n">
        <v>14.36</v>
      </c>
      <c r="P31" s="18" t="n">
        <v>13.15</v>
      </c>
      <c r="Q31" s="17" t="n">
        <v>10.32</v>
      </c>
      <c r="R31" s="18" t="n">
        <v>13.88</v>
      </c>
      <c r="S31" s="18" t="n">
        <v>12.26</v>
      </c>
      <c r="T31" s="18" t="n">
        <v>12.74</v>
      </c>
      <c r="U31" s="18" t="n">
        <v>13.82</v>
      </c>
      <c r="V31" s="20" t="n">
        <v>12.6</v>
      </c>
      <c r="W31" s="19" t="n">
        <f aca="false">(O31*5+P31*5+Q31*5+R31*4+S31*4+T31*3+U31*3+V31*5)/34</f>
        <v>12.835</v>
      </c>
      <c r="X31" s="21" t="n">
        <f aca="false">(M31+W31)/2</f>
        <v>13.5147413793103</v>
      </c>
      <c r="Y31" s="13" t="n">
        <f aca="false">COUNTIF(E31:K31,"&lt;12")+COUNTIF(O31:V31,"&lt;12")</f>
        <v>3</v>
      </c>
      <c r="Z31" s="24" t="str">
        <f aca="false">IF(OR(X31&lt;12,Y31&gt;3),"Oui","Non")</f>
        <v>Non</v>
      </c>
    </row>
    <row r="32" customFormat="false" ht="18" hidden="false" customHeight="true" outlineLevel="0" collapsed="false">
      <c r="A32" s="23" t="s">
        <v>114</v>
      </c>
      <c r="B32" s="23" t="s">
        <v>115</v>
      </c>
      <c r="C32" s="23" t="s">
        <v>116</v>
      </c>
      <c r="D32" s="16" t="n">
        <v>14</v>
      </c>
      <c r="E32" s="18" t="n">
        <v>14.57</v>
      </c>
      <c r="F32" s="18" t="n">
        <v>13.19</v>
      </c>
      <c r="G32" s="18" t="n">
        <v>15.77</v>
      </c>
      <c r="H32" s="18" t="n">
        <v>17.66</v>
      </c>
      <c r="I32" s="18" t="n">
        <v>15.14</v>
      </c>
      <c r="J32" s="18" t="n">
        <v>16.61</v>
      </c>
      <c r="K32" s="18" t="n">
        <v>16.01</v>
      </c>
      <c r="M32" s="19" t="n">
        <f aca="false">(E32*5+F32*5+G32*5+H32*4+I32*4+J32*3+K32*3)/29</f>
        <v>15.4037931034483</v>
      </c>
      <c r="N32" s="16" t="n">
        <v>20</v>
      </c>
      <c r="O32" s="17" t="n">
        <v>9.69</v>
      </c>
      <c r="P32" s="18" t="n">
        <v>12.64</v>
      </c>
      <c r="Q32" s="17" t="n">
        <v>9.86</v>
      </c>
      <c r="R32" s="17" t="n">
        <v>11.24</v>
      </c>
      <c r="S32" s="18" t="n">
        <v>12.67</v>
      </c>
      <c r="T32" s="18" t="n">
        <v>12.2</v>
      </c>
      <c r="U32" s="18" t="n">
        <v>14.03</v>
      </c>
      <c r="V32" s="20" t="n">
        <v>12.33</v>
      </c>
      <c r="W32" s="19" t="n">
        <f aca="false">(O32*5+P32*5+Q32*5+R32*4+S32*4+T32*3+U32*3+V32*5)/34</f>
        <v>11.6744117647059</v>
      </c>
      <c r="X32" s="21" t="n">
        <f aca="false">(M32+W32)/2</f>
        <v>13.5391024340771</v>
      </c>
      <c r="Y32" s="13" t="n">
        <f aca="false">COUNTIF(E32:K32,"&lt;12")+COUNTIF(O32:V32,"&lt;12")</f>
        <v>3</v>
      </c>
      <c r="Z32" s="24" t="str">
        <f aca="false">IF(OR(X32&lt;12,Y32&gt;3),"Oui","Non")</f>
        <v>Non</v>
      </c>
    </row>
    <row r="33" customFormat="false" ht="18" hidden="false" customHeight="true" outlineLevel="0" collapsed="false">
      <c r="A33" s="15" t="s">
        <v>117</v>
      </c>
      <c r="B33" s="15" t="s">
        <v>118</v>
      </c>
      <c r="C33" s="15" t="s">
        <v>119</v>
      </c>
      <c r="D33" s="16" t="n">
        <v>2</v>
      </c>
      <c r="E33" s="17" t="n">
        <v>11.4</v>
      </c>
      <c r="F33" s="18" t="n">
        <v>14.22</v>
      </c>
      <c r="G33" s="18" t="n">
        <v>12.18</v>
      </c>
      <c r="H33" s="18" t="n">
        <v>15.21</v>
      </c>
      <c r="I33" s="17" t="n">
        <v>9.8</v>
      </c>
      <c r="J33" s="18" t="n">
        <v>13.96</v>
      </c>
      <c r="K33" s="18" t="n">
        <v>17.57</v>
      </c>
      <c r="M33" s="19" t="n">
        <f aca="false">(E33*5+F33*5+G33*5+H33*4+I33*4+J33*3+K33*3)/29</f>
        <v>13.2286206896552</v>
      </c>
      <c r="N33" s="16" t="n">
        <v>2</v>
      </c>
      <c r="O33" s="17" t="n">
        <v>11.59</v>
      </c>
      <c r="P33" s="18" t="n">
        <v>16.53</v>
      </c>
      <c r="Q33" s="18" t="n">
        <v>14.18</v>
      </c>
      <c r="R33" s="18" t="n">
        <v>17.09</v>
      </c>
      <c r="S33" s="18" t="n">
        <v>17.56</v>
      </c>
      <c r="T33" s="18" t="n">
        <v>19.18</v>
      </c>
      <c r="U33" s="18" t="n">
        <v>17.23</v>
      </c>
      <c r="V33" s="20" t="n">
        <v>14.67</v>
      </c>
      <c r="W33" s="19" t="n">
        <f aca="false">(O33*5+P33*5+Q33*5+R33*4+S33*4+T33*3+U33*3+V33*5)/34</f>
        <v>15.6670588235294</v>
      </c>
      <c r="X33" s="21" t="n">
        <f aca="false">(M33+W33)/2</f>
        <v>14.4478397565923</v>
      </c>
      <c r="Y33" s="13" t="n">
        <f aca="false">COUNTIF(E33:K33,"&lt;12")+COUNTIF(O33:V33,"&lt;12")</f>
        <v>3</v>
      </c>
      <c r="Z33" s="24" t="str">
        <f aca="false">IF(OR(X33&lt;12,Y33&gt;3),"Oui","Non")</f>
        <v>Non</v>
      </c>
    </row>
    <row r="34" customFormat="false" ht="18" hidden="false" customHeight="true" outlineLevel="0" collapsed="false">
      <c r="A34" s="23" t="s">
        <v>120</v>
      </c>
      <c r="B34" s="23" t="s">
        <v>121</v>
      </c>
      <c r="C34" s="23" t="s">
        <v>122</v>
      </c>
      <c r="D34" s="16" t="n">
        <v>5</v>
      </c>
      <c r="E34" s="18" t="n">
        <v>13.25</v>
      </c>
      <c r="F34" s="18" t="n">
        <v>14.72</v>
      </c>
      <c r="G34" s="18" t="n">
        <v>15.42</v>
      </c>
      <c r="H34" s="17" t="n">
        <v>10.4</v>
      </c>
      <c r="I34" s="18" t="n">
        <v>15.27</v>
      </c>
      <c r="J34" s="18" t="n">
        <v>13.07</v>
      </c>
      <c r="K34" s="18" t="n">
        <v>12.53</v>
      </c>
      <c r="M34" s="19" t="n">
        <f aca="false">(E34*5+F34*5+G34*5+H34*4+I34*4+J34*3+K34*3)/29</f>
        <v>13.67</v>
      </c>
      <c r="N34" s="16" t="n">
        <v>8</v>
      </c>
      <c r="O34" s="17" t="n">
        <v>10.41</v>
      </c>
      <c r="P34" s="18" t="n">
        <v>16.44</v>
      </c>
      <c r="Q34" s="18" t="n">
        <v>12.23</v>
      </c>
      <c r="R34" s="18" t="n">
        <v>12.37</v>
      </c>
      <c r="S34" s="17" t="n">
        <v>10.54</v>
      </c>
      <c r="T34" s="18" t="n">
        <v>15.48</v>
      </c>
      <c r="U34" s="18" t="n">
        <v>13.08</v>
      </c>
      <c r="V34" s="20" t="n">
        <v>15.34</v>
      </c>
      <c r="W34" s="19" t="n">
        <f aca="false">(O34*5+P34*5+Q34*5+R34*4+S34*4+T34*3+U34*3+V34*5)/34</f>
        <v>13.2182352941176</v>
      </c>
      <c r="X34" s="21" t="n">
        <f aca="false">(M34+W34)/2</f>
        <v>13.4441176470588</v>
      </c>
      <c r="Y34" s="13" t="n">
        <f aca="false">COUNTIF(E34:K34,"&lt;12")+COUNTIF(O34:V34,"&lt;12")</f>
        <v>3</v>
      </c>
      <c r="Z34" s="24" t="str">
        <f aca="false">IF(OR(X34&lt;12,Y34&gt;3),"Oui","Non")</f>
        <v>Non</v>
      </c>
    </row>
    <row r="35" customFormat="false" ht="18" hidden="false" customHeight="true" outlineLevel="0" collapsed="false">
      <c r="A35" s="15" t="s">
        <v>123</v>
      </c>
      <c r="B35" s="15" t="s">
        <v>124</v>
      </c>
      <c r="C35" s="15" t="s">
        <v>125</v>
      </c>
      <c r="D35" s="16" t="n">
        <v>0</v>
      </c>
      <c r="E35" s="18" t="n">
        <v>15.87</v>
      </c>
      <c r="F35" s="18" t="n">
        <v>12.22</v>
      </c>
      <c r="G35" s="18" t="n">
        <v>13.07</v>
      </c>
      <c r="H35" s="18" t="n">
        <v>13</v>
      </c>
      <c r="I35" s="17" t="n">
        <v>11.06</v>
      </c>
      <c r="J35" s="18" t="n">
        <v>17.02</v>
      </c>
      <c r="K35" s="18" t="n">
        <v>14.73</v>
      </c>
      <c r="M35" s="19" t="n">
        <f aca="false">(E35*5+F35*5+G35*5+H35*4+I35*4+J35*3+K35*3)/29</f>
        <v>13.6996551724138</v>
      </c>
      <c r="N35" s="16" t="n">
        <v>6</v>
      </c>
      <c r="O35" s="18" t="n">
        <v>17.4</v>
      </c>
      <c r="P35" s="18" t="n">
        <v>18.5</v>
      </c>
      <c r="Q35" s="18" t="n">
        <v>13.08</v>
      </c>
      <c r="R35" s="18" t="n">
        <v>17.56</v>
      </c>
      <c r="S35" s="17" t="n">
        <v>10.04</v>
      </c>
      <c r="T35" s="18" t="n">
        <v>14.36</v>
      </c>
      <c r="U35" s="18" t="n">
        <v>13.55</v>
      </c>
      <c r="V35" s="17" t="n">
        <v>11.95</v>
      </c>
      <c r="W35" s="19" t="n">
        <f aca="false">(O35*5+P35*5+Q35*5+R35*4+S35*4+T35*3+U35*3+V35*5)/34</f>
        <v>14.67</v>
      </c>
      <c r="X35" s="21" t="n">
        <f aca="false">(M35+W35)/2</f>
        <v>14.1848275862069</v>
      </c>
      <c r="Y35" s="13" t="n">
        <f aca="false">COUNTIF(E35:K35,"&lt;12")+COUNTIF(O35:V35,"&lt;12")</f>
        <v>3</v>
      </c>
      <c r="Z35" s="24" t="str">
        <f aca="false">IF(OR(X35&lt;12,Y35&gt;3),"Oui","Non")</f>
        <v>Non</v>
      </c>
    </row>
    <row r="36" customFormat="false" ht="18" hidden="false" customHeight="true" outlineLevel="0" collapsed="false">
      <c r="A36" s="23" t="s">
        <v>126</v>
      </c>
      <c r="B36" s="23" t="s">
        <v>127</v>
      </c>
      <c r="C36" s="23" t="s">
        <v>128</v>
      </c>
      <c r="D36" s="16" t="n">
        <v>16</v>
      </c>
      <c r="E36" s="18" t="n">
        <v>14.06</v>
      </c>
      <c r="F36" s="17" t="n">
        <v>9.21</v>
      </c>
      <c r="G36" s="17" t="n">
        <v>10.16</v>
      </c>
      <c r="H36" s="17" t="n">
        <v>10.02</v>
      </c>
      <c r="I36" s="18" t="n">
        <v>13.25</v>
      </c>
      <c r="J36" s="17" t="n">
        <v>10.05</v>
      </c>
      <c r="K36" s="17" t="n">
        <v>3.63</v>
      </c>
      <c r="M36" s="19" t="n">
        <f aca="false">(E36*5+F36*5+G36*5+H36*4+I36*4+J36*3+K36*3)/29</f>
        <v>10.3886206896552</v>
      </c>
      <c r="N36" s="16" t="n">
        <v>20</v>
      </c>
      <c r="O36" s="17" t="n">
        <v>4.79</v>
      </c>
      <c r="P36" s="18" t="n">
        <v>14.44</v>
      </c>
      <c r="Q36" s="17" t="n">
        <v>10.84</v>
      </c>
      <c r="R36" s="17" t="n">
        <v>10.12</v>
      </c>
      <c r="S36" s="17" t="n">
        <v>4.47</v>
      </c>
      <c r="T36" s="18" t="n">
        <v>16.11</v>
      </c>
      <c r="U36" s="17" t="n">
        <v>11.04</v>
      </c>
      <c r="V36" s="20" t="n">
        <v>14.68</v>
      </c>
      <c r="W36" s="19" t="n">
        <f aca="false">(O36*5+P36*5+Q36*5+R36*4+S36*4+T36*3+U36*3+V36*5)/34</f>
        <v>10.6929411764706</v>
      </c>
      <c r="X36" s="21" t="n">
        <f aca="false">(M36+W36)/2</f>
        <v>10.5407809330629</v>
      </c>
      <c r="Y36" s="13" t="n">
        <f aca="false">COUNTIF(E36:K36,"&lt;12")+COUNTIF(O36:V36,"&lt;12")</f>
        <v>10</v>
      </c>
      <c r="Z36" s="25" t="str">
        <f aca="false">IF(OR(X36&lt;12,Y36&gt;3),"Oui","Non")</f>
        <v>Oui</v>
      </c>
    </row>
    <row r="37" customFormat="false" ht="18" hidden="false" customHeight="true" outlineLevel="0" collapsed="false">
      <c r="A37" s="15" t="s">
        <v>129</v>
      </c>
      <c r="B37" s="15" t="s">
        <v>130</v>
      </c>
      <c r="C37" s="15" t="s">
        <v>131</v>
      </c>
      <c r="D37" s="16" t="n">
        <v>9</v>
      </c>
      <c r="E37" s="18" t="n">
        <v>15.04</v>
      </c>
      <c r="F37" s="18" t="n">
        <v>17.31</v>
      </c>
      <c r="G37" s="17" t="n">
        <v>3.18</v>
      </c>
      <c r="H37" s="18" t="n">
        <v>12.02</v>
      </c>
      <c r="I37" s="17" t="n">
        <v>2.47</v>
      </c>
      <c r="J37" s="18" t="n">
        <v>12.99</v>
      </c>
      <c r="K37" s="18" t="n">
        <v>17.45</v>
      </c>
      <c r="M37" s="19" t="n">
        <f aca="false">(E37*5+F37*5+G37*5+H37*4+I37*4+J37*3+K37*3)/29</f>
        <v>11.2734482758621</v>
      </c>
      <c r="N37" s="16" t="n">
        <v>2</v>
      </c>
      <c r="O37" s="17" t="n">
        <v>9.62</v>
      </c>
      <c r="P37" s="17" t="n">
        <v>10.91</v>
      </c>
      <c r="Q37" s="17" t="n">
        <v>7.22</v>
      </c>
      <c r="R37" s="18" t="n">
        <v>15.52</v>
      </c>
      <c r="S37" s="17" t="n">
        <v>7.58</v>
      </c>
      <c r="T37" s="18" t="n">
        <v>13.38</v>
      </c>
      <c r="U37" s="17" t="n">
        <v>11.94</v>
      </c>
      <c r="V37" s="17" t="n">
        <v>2.55</v>
      </c>
      <c r="W37" s="19" t="n">
        <f aca="false">(O37*5+P37*5+Q37*5+R37*4+S37*4+T37*3+U37*3+V37*5)/34</f>
        <v>9.40764705882353</v>
      </c>
      <c r="X37" s="21" t="n">
        <f aca="false">(M37+W37)/2</f>
        <v>10.3405476673428</v>
      </c>
      <c r="Y37" s="13" t="n">
        <f aca="false">COUNTIF(E37:K37,"&lt;12")+COUNTIF(O37:V37,"&lt;12")</f>
        <v>8</v>
      </c>
      <c r="Z37" s="25" t="str">
        <f aca="false">IF(OR(X37&lt;12,Y37&gt;3),"Oui","Non")</f>
        <v>Oui</v>
      </c>
    </row>
    <row r="38" customFormat="false" ht="18" hidden="false" customHeight="true" outlineLevel="0" collapsed="false">
      <c r="A38" s="23" t="s">
        <v>132</v>
      </c>
      <c r="B38" s="23" t="s">
        <v>133</v>
      </c>
      <c r="C38" s="23" t="s">
        <v>134</v>
      </c>
      <c r="D38" s="16" t="n">
        <v>10</v>
      </c>
      <c r="E38" s="17" t="n">
        <v>5.98</v>
      </c>
      <c r="F38" s="18" t="n">
        <v>13.11</v>
      </c>
      <c r="G38" s="17" t="n">
        <v>9.05</v>
      </c>
      <c r="H38" s="17" t="n">
        <v>9.52</v>
      </c>
      <c r="I38" s="18" t="n">
        <v>12.39</v>
      </c>
      <c r="J38" s="17" t="n">
        <v>9.32</v>
      </c>
      <c r="K38" s="17" t="n">
        <v>11.28</v>
      </c>
      <c r="M38" s="19" t="n">
        <f aca="false">(E38*5+F38*5+G38*5+H38*4+I38*4+J38*3+K38*3)/29</f>
        <v>10.0048275862069</v>
      </c>
      <c r="N38" s="16" t="n">
        <v>2</v>
      </c>
      <c r="O38" s="18" t="n">
        <v>16.82</v>
      </c>
      <c r="P38" s="18" t="n">
        <v>12.45</v>
      </c>
      <c r="Q38" s="18" t="n">
        <v>12.09</v>
      </c>
      <c r="R38" s="17" t="n">
        <v>4.6</v>
      </c>
      <c r="S38" s="17" t="n">
        <v>5.05</v>
      </c>
      <c r="T38" s="18" t="n">
        <v>13.71</v>
      </c>
      <c r="U38" s="18" t="n">
        <v>12.56</v>
      </c>
      <c r="V38" s="20" t="n">
        <v>17.27</v>
      </c>
      <c r="W38" s="19" t="n">
        <f aca="false">(O38*5+P38*5+Q38*5+R38*4+S38*4+T38*3+U38*3+V38*5)/34</f>
        <v>12.0752941176471</v>
      </c>
      <c r="X38" s="21" t="n">
        <f aca="false">(M38+W38)/2</f>
        <v>11.040060851927</v>
      </c>
      <c r="Y38" s="13" t="n">
        <f aca="false">COUNTIF(E38:K38,"&lt;12")+COUNTIF(O38:V38,"&lt;12")</f>
        <v>7</v>
      </c>
      <c r="Z38" s="25" t="str">
        <f aca="false">IF(OR(X38&lt;12,Y38&gt;3),"Oui","Non")</f>
        <v>Oui</v>
      </c>
    </row>
    <row r="39" customFormat="false" ht="18" hidden="false" customHeight="true" outlineLevel="0" collapsed="false">
      <c r="A39" s="15" t="s">
        <v>135</v>
      </c>
      <c r="B39" s="15" t="s">
        <v>136</v>
      </c>
      <c r="C39" s="15" t="s">
        <v>137</v>
      </c>
      <c r="D39" s="16" t="n">
        <v>13</v>
      </c>
      <c r="E39" s="17" t="n">
        <v>9.61</v>
      </c>
      <c r="F39" s="18" t="n">
        <v>16.14</v>
      </c>
      <c r="G39" s="18" t="n">
        <v>13.92</v>
      </c>
      <c r="H39" s="18" t="n">
        <v>13.68</v>
      </c>
      <c r="I39" s="17" t="n">
        <v>3.81</v>
      </c>
      <c r="J39" s="17" t="n">
        <v>5.47</v>
      </c>
      <c r="K39" s="17" t="n">
        <v>11.3</v>
      </c>
      <c r="M39" s="19" t="n">
        <f aca="false">(E39*5+F39*5+G39*5+H39*4+I39*4+J39*3+K39*3)/29</f>
        <v>10.9868965517241</v>
      </c>
      <c r="N39" s="16" t="n">
        <v>11</v>
      </c>
      <c r="O39" s="18" t="n">
        <v>17.18</v>
      </c>
      <c r="P39" s="17" t="n">
        <v>11.65</v>
      </c>
      <c r="Q39" s="17" t="n">
        <v>3.81</v>
      </c>
      <c r="R39" s="18" t="n">
        <v>16.69</v>
      </c>
      <c r="S39" s="18" t="n">
        <v>16.78</v>
      </c>
      <c r="T39" s="17" t="n">
        <v>6.98</v>
      </c>
      <c r="U39" s="18" t="n">
        <v>15.25</v>
      </c>
      <c r="V39" s="17" t="n">
        <v>6.77</v>
      </c>
      <c r="W39" s="19" t="n">
        <f aca="false">(O39*5+P39*5+Q39*5+R39*4+S39*4+T39*3+U39*3+V39*5)/34</f>
        <v>11.6947058823529</v>
      </c>
      <c r="X39" s="21" t="n">
        <f aca="false">(M39+W39)/2</f>
        <v>11.3408012170385</v>
      </c>
      <c r="Y39" s="13" t="n">
        <f aca="false">COUNTIF(E39:K39,"&lt;12")+COUNTIF(O39:V39,"&lt;12")</f>
        <v>8</v>
      </c>
      <c r="Z39" s="25" t="str">
        <f aca="false">IF(OR(X39&lt;12,Y39&gt;3),"Oui","Non")</f>
        <v>Oui</v>
      </c>
    </row>
  </sheetData>
  <mergeCells count="5">
    <mergeCell ref="A1:Z1"/>
    <mergeCell ref="A2:C2"/>
    <mergeCell ref="D2:M2"/>
    <mergeCell ref="N2:W2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2026-02-24T17:30:57Z</dcterms:created>
  <dc:creator>openpyxl</dc:creator>
  <dc:description/>
  <dc:language>en-US</dc:language>
  <cp:lastModifiedBy/>
  <dcterms:modified xsi:type="dcterms:W3CDTF">2026-02-24T17:37:31Z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